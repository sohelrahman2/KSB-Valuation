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ik\Downloads\"/>
    </mc:Choice>
  </mc:AlternateContent>
  <xr:revisionPtr revIDLastSave="0" documentId="13_ncr:20001_{4D4FE1BE-B97E-4791-A958-89186E09F278}" xr6:coauthVersionLast="47" xr6:coauthVersionMax="47" xr10:uidLastSave="{00000000-0000-0000-0000-000000000000}"/>
  <bookViews>
    <workbookView xWindow="-110" yWindow="-110" windowWidth="19420" windowHeight="10300" tabRatio="500" activeTab="5" xr2:uid="{00000000-000D-0000-FFFF-FFFF00000000}"/>
  </bookViews>
  <sheets>
    <sheet name="P&amp;L" sheetId="1" r:id="rId1"/>
    <sheet name="Balance Sheet" sheetId="2" r:id="rId2"/>
    <sheet name="Scenario" sheetId="3" r:id="rId3"/>
    <sheet name="C&amp;F" sheetId="4" r:id="rId4"/>
    <sheet name="Model" sheetId="5" r:id="rId5"/>
    <sheet name="DCF" sheetId="6" r:id="rId6"/>
    <sheet name="Comp Valuation" sheetId="7" r:id="rId7"/>
    <sheet name="WACC" sheetId="8" r:id="rId8"/>
    <sheet name="Beta" sheetId="9" r:id="rId9"/>
    <sheet name="Summary" sheetId="10" r:id="rId10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7" l="1"/>
  <c r="K28" i="7"/>
  <c r="K29" i="7"/>
  <c r="K27" i="7"/>
  <c r="H9" i="10" s="1"/>
  <c r="H10" i="10" s="1"/>
  <c r="J27" i="7"/>
  <c r="I10" i="10"/>
  <c r="I8" i="10"/>
  <c r="E65" i="9"/>
  <c r="C65" i="9"/>
  <c r="E64" i="9"/>
  <c r="C64" i="9"/>
  <c r="E63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H10" i="9" s="1"/>
  <c r="C10" i="9"/>
  <c r="E9" i="9"/>
  <c r="C9" i="9"/>
  <c r="E8" i="9"/>
  <c r="C8" i="9"/>
  <c r="H7" i="9"/>
  <c r="J9" i="10" s="1"/>
  <c r="J10" i="10" s="1"/>
  <c r="E7" i="9"/>
  <c r="C7" i="9"/>
  <c r="H6" i="9"/>
  <c r="J7" i="10" s="1"/>
  <c r="J8" i="10" s="1"/>
  <c r="E6" i="9"/>
  <c r="C6" i="9"/>
  <c r="E44" i="8"/>
  <c r="E39" i="8"/>
  <c r="E38" i="8"/>
  <c r="E33" i="8"/>
  <c r="E32" i="8"/>
  <c r="J23" i="8"/>
  <c r="E34" i="8" s="1"/>
  <c r="M21" i="8"/>
  <c r="L21" i="8"/>
  <c r="M20" i="8"/>
  <c r="L20" i="8"/>
  <c r="I18" i="8"/>
  <c r="I17" i="8"/>
  <c r="H17" i="8"/>
  <c r="I16" i="8"/>
  <c r="H16" i="8"/>
  <c r="I15" i="8"/>
  <c r="I14" i="8"/>
  <c r="N13" i="8"/>
  <c r="K13" i="8"/>
  <c r="I13" i="8"/>
  <c r="H13" i="8"/>
  <c r="J13" i="8" s="1"/>
  <c r="I12" i="8"/>
  <c r="I11" i="8"/>
  <c r="K10" i="8"/>
  <c r="J10" i="8"/>
  <c r="N10" i="8" s="1"/>
  <c r="I10" i="8"/>
  <c r="H10" i="8"/>
  <c r="K9" i="8"/>
  <c r="I9" i="8"/>
  <c r="H9" i="8"/>
  <c r="J9" i="8" s="1"/>
  <c r="F29" i="7"/>
  <c r="J28" i="7"/>
  <c r="J29" i="7" s="1"/>
  <c r="G28" i="7"/>
  <c r="F28" i="7"/>
  <c r="F27" i="7"/>
  <c r="G27" i="7" s="1"/>
  <c r="S22" i="7"/>
  <c r="R22" i="7"/>
  <c r="Q22" i="7"/>
  <c r="H17" i="7"/>
  <c r="R16" i="7"/>
  <c r="Q16" i="7"/>
  <c r="K16" i="7"/>
  <c r="H16" i="7"/>
  <c r="S16" i="7" s="1"/>
  <c r="S15" i="7"/>
  <c r="K15" i="7"/>
  <c r="R15" i="7" s="1"/>
  <c r="H15" i="7"/>
  <c r="H14" i="7"/>
  <c r="S14" i="7" s="1"/>
  <c r="H13" i="7"/>
  <c r="S12" i="7"/>
  <c r="R12" i="7"/>
  <c r="Q12" i="7"/>
  <c r="K12" i="7"/>
  <c r="H12" i="7"/>
  <c r="H11" i="7"/>
  <c r="H10" i="7"/>
  <c r="S9" i="7"/>
  <c r="K9" i="7"/>
  <c r="R9" i="7" s="1"/>
  <c r="H9" i="7"/>
  <c r="K8" i="7"/>
  <c r="H8" i="7"/>
  <c r="S8" i="7" s="1"/>
  <c r="F66" i="6"/>
  <c r="E66" i="6"/>
  <c r="D66" i="6"/>
  <c r="F64" i="6"/>
  <c r="E64" i="6"/>
  <c r="D64" i="6"/>
  <c r="F62" i="6"/>
  <c r="E62" i="6"/>
  <c r="D62" i="6"/>
  <c r="I51" i="6"/>
  <c r="H51" i="6"/>
  <c r="G51" i="6"/>
  <c r="F51" i="6"/>
  <c r="E51" i="6"/>
  <c r="D51" i="6"/>
  <c r="I45" i="6"/>
  <c r="H45" i="6"/>
  <c r="G45" i="6"/>
  <c r="F45" i="6"/>
  <c r="E45" i="6"/>
  <c r="E30" i="6"/>
  <c r="D30" i="6"/>
  <c r="F5" i="6"/>
  <c r="E5" i="6"/>
  <c r="H6" i="6" s="1"/>
  <c r="G48" i="4"/>
  <c r="G33" i="4"/>
  <c r="F33" i="4"/>
  <c r="E33" i="4"/>
  <c r="D33" i="4"/>
  <c r="C33" i="4"/>
  <c r="G19" i="4"/>
  <c r="G20" i="4" s="1"/>
  <c r="G34" i="4" s="1"/>
  <c r="G37" i="4" s="1"/>
  <c r="F19" i="4"/>
  <c r="E19" i="4"/>
  <c r="D19" i="4"/>
  <c r="C19" i="4"/>
  <c r="D3" i="4"/>
  <c r="E3" i="4" s="1"/>
  <c r="F3" i="4" s="1"/>
  <c r="G3" i="4" s="1"/>
  <c r="J5" i="3"/>
  <c r="I5" i="3"/>
  <c r="H5" i="3"/>
  <c r="G5" i="3"/>
  <c r="F5" i="3"/>
  <c r="H4" i="3"/>
  <c r="I4" i="3" s="1"/>
  <c r="J4" i="3" s="1"/>
  <c r="G4" i="3"/>
  <c r="D3" i="2"/>
  <c r="E3" i="2" s="1"/>
  <c r="F3" i="2" s="1"/>
  <c r="G3" i="2" s="1"/>
  <c r="F34" i="1"/>
  <c r="F17" i="1"/>
  <c r="F3" i="1"/>
  <c r="C3" i="1"/>
  <c r="D3" i="1" s="1"/>
  <c r="E3" i="1" s="1"/>
  <c r="J127" i="5"/>
  <c r="I127" i="5"/>
  <c r="H127" i="5"/>
  <c r="K126" i="5"/>
  <c r="J126" i="5"/>
  <c r="K124" i="5" s="1"/>
  <c r="I126" i="5"/>
  <c r="H126" i="5"/>
  <c r="K121" i="5"/>
  <c r="J121" i="5"/>
  <c r="K118" i="5" s="1"/>
  <c r="H121" i="5"/>
  <c r="I118" i="5" s="1"/>
  <c r="I119" i="5" s="1"/>
  <c r="L120" i="5"/>
  <c r="K120" i="5"/>
  <c r="J120" i="5"/>
  <c r="L115" i="5"/>
  <c r="I115" i="5"/>
  <c r="L114" i="5"/>
  <c r="K114" i="5"/>
  <c r="J114" i="5"/>
  <c r="I114" i="5"/>
  <c r="H114" i="5"/>
  <c r="L113" i="5"/>
  <c r="K113" i="5"/>
  <c r="J113" i="5"/>
  <c r="J115" i="5" s="1"/>
  <c r="I113" i="5"/>
  <c r="H113" i="5"/>
  <c r="L112" i="5"/>
  <c r="K112" i="5"/>
  <c r="J112" i="5"/>
  <c r="I112" i="5"/>
  <c r="H112" i="5"/>
  <c r="L111" i="5"/>
  <c r="K111" i="5"/>
  <c r="J111" i="5"/>
  <c r="I111" i="5"/>
  <c r="H111" i="5"/>
  <c r="H115" i="5" s="1"/>
  <c r="L103" i="5"/>
  <c r="K103" i="5"/>
  <c r="J103" i="5"/>
  <c r="I103" i="5"/>
  <c r="H103" i="5"/>
  <c r="L100" i="5"/>
  <c r="L99" i="5"/>
  <c r="K99" i="5"/>
  <c r="J99" i="5"/>
  <c r="I99" i="5"/>
  <c r="H99" i="5"/>
  <c r="L98" i="5"/>
  <c r="K98" i="5"/>
  <c r="J98" i="5"/>
  <c r="J100" i="5" s="1"/>
  <c r="I98" i="5"/>
  <c r="H98" i="5"/>
  <c r="L96" i="5"/>
  <c r="K96" i="5"/>
  <c r="J96" i="5"/>
  <c r="I96" i="5"/>
  <c r="I100" i="5" s="1"/>
  <c r="H96" i="5"/>
  <c r="Q92" i="5"/>
  <c r="P92" i="5"/>
  <c r="O92" i="5"/>
  <c r="N92" i="5"/>
  <c r="M92" i="5"/>
  <c r="L92" i="5"/>
  <c r="K92" i="5"/>
  <c r="J92" i="5"/>
  <c r="I92" i="5"/>
  <c r="H92" i="5"/>
  <c r="L91" i="5"/>
  <c r="K91" i="5"/>
  <c r="J91" i="5"/>
  <c r="J93" i="5" s="1"/>
  <c r="I91" i="5"/>
  <c r="H91" i="5"/>
  <c r="L90" i="5"/>
  <c r="K90" i="5"/>
  <c r="J90" i="5"/>
  <c r="I90" i="5"/>
  <c r="H90" i="5"/>
  <c r="L89" i="5"/>
  <c r="K89" i="5"/>
  <c r="J89" i="5"/>
  <c r="I89" i="5"/>
  <c r="H89" i="5"/>
  <c r="L88" i="5"/>
  <c r="K88" i="5"/>
  <c r="J88" i="5"/>
  <c r="I88" i="5"/>
  <c r="H88" i="5"/>
  <c r="L87" i="5"/>
  <c r="L93" i="5" s="1"/>
  <c r="K87" i="5"/>
  <c r="J87" i="5"/>
  <c r="I87" i="5"/>
  <c r="H87" i="5"/>
  <c r="J84" i="5"/>
  <c r="L83" i="5"/>
  <c r="K83" i="5"/>
  <c r="J83" i="5"/>
  <c r="I83" i="5"/>
  <c r="H83" i="5"/>
  <c r="L82" i="5"/>
  <c r="L84" i="5" s="1"/>
  <c r="L102" i="5" s="1"/>
  <c r="L104" i="5" s="1"/>
  <c r="K82" i="5"/>
  <c r="J82" i="5"/>
  <c r="I82" i="5"/>
  <c r="H82" i="5"/>
  <c r="L81" i="5"/>
  <c r="K81" i="5"/>
  <c r="J81" i="5"/>
  <c r="I81" i="5"/>
  <c r="I120" i="5" s="1"/>
  <c r="H81" i="5"/>
  <c r="L80" i="5"/>
  <c r="K80" i="5"/>
  <c r="J80" i="5"/>
  <c r="I80" i="5"/>
  <c r="H80" i="5"/>
  <c r="L68" i="5"/>
  <c r="K68" i="5"/>
  <c r="J68" i="5"/>
  <c r="I68" i="5"/>
  <c r="H68" i="5"/>
  <c r="L67" i="5"/>
  <c r="K67" i="5"/>
  <c r="K69" i="5" s="1"/>
  <c r="J67" i="5"/>
  <c r="J69" i="5" s="1"/>
  <c r="I67" i="5"/>
  <c r="I69" i="5" s="1"/>
  <c r="H67" i="5"/>
  <c r="H69" i="5" s="1"/>
  <c r="L64" i="5"/>
  <c r="K64" i="5"/>
  <c r="J64" i="5"/>
  <c r="I64" i="5"/>
  <c r="H64" i="5"/>
  <c r="L63" i="5"/>
  <c r="L126" i="5" s="1"/>
  <c r="K63" i="5"/>
  <c r="J63" i="5"/>
  <c r="I63" i="5"/>
  <c r="H63" i="5"/>
  <c r="L61" i="5"/>
  <c r="K61" i="5"/>
  <c r="J61" i="5"/>
  <c r="I61" i="5"/>
  <c r="H61" i="5"/>
  <c r="L60" i="5"/>
  <c r="K60" i="5"/>
  <c r="K65" i="5" s="1"/>
  <c r="K71" i="5" s="1"/>
  <c r="J60" i="5"/>
  <c r="J65" i="5" s="1"/>
  <c r="J71" i="5" s="1"/>
  <c r="I60" i="5"/>
  <c r="H60" i="5"/>
  <c r="L55" i="5"/>
  <c r="K55" i="5"/>
  <c r="J55" i="5"/>
  <c r="I55" i="5"/>
  <c r="H55" i="5"/>
  <c r="L54" i="5"/>
  <c r="K54" i="5"/>
  <c r="J54" i="5"/>
  <c r="I54" i="5"/>
  <c r="H54" i="5"/>
  <c r="Q53" i="5"/>
  <c r="P53" i="5"/>
  <c r="O53" i="5"/>
  <c r="N53" i="5"/>
  <c r="M53" i="5"/>
  <c r="L53" i="5"/>
  <c r="K53" i="5"/>
  <c r="J53" i="5"/>
  <c r="I53" i="5"/>
  <c r="H53" i="5"/>
  <c r="L52" i="5"/>
  <c r="L121" i="5" s="1"/>
  <c r="M118" i="5" s="1"/>
  <c r="K52" i="5"/>
  <c r="J52" i="5"/>
  <c r="I52" i="5"/>
  <c r="I121" i="5" s="1"/>
  <c r="J118" i="5" s="1"/>
  <c r="J119" i="5" s="1"/>
  <c r="H52" i="5"/>
  <c r="L49" i="5"/>
  <c r="K49" i="5"/>
  <c r="J49" i="5"/>
  <c r="I49" i="5"/>
  <c r="H49" i="5"/>
  <c r="L48" i="5"/>
  <c r="K48" i="5"/>
  <c r="J48" i="5"/>
  <c r="I48" i="5"/>
  <c r="I18" i="5" s="1"/>
  <c r="H48" i="5"/>
  <c r="L47" i="5"/>
  <c r="K47" i="5"/>
  <c r="J47" i="5"/>
  <c r="I47" i="5"/>
  <c r="H47" i="5"/>
  <c r="L46" i="5"/>
  <c r="M46" i="5" s="1"/>
  <c r="N46" i="5" s="1"/>
  <c r="O46" i="5" s="1"/>
  <c r="P46" i="5" s="1"/>
  <c r="Q46" i="5" s="1"/>
  <c r="K46" i="5"/>
  <c r="J46" i="5"/>
  <c r="I46" i="5"/>
  <c r="H46" i="5"/>
  <c r="L45" i="5"/>
  <c r="K45" i="5"/>
  <c r="J45" i="5"/>
  <c r="I45" i="5"/>
  <c r="H45" i="5"/>
  <c r="L37" i="5"/>
  <c r="K37" i="5"/>
  <c r="J37" i="5"/>
  <c r="I37" i="5"/>
  <c r="H37" i="5"/>
  <c r="L35" i="5"/>
  <c r="D31" i="6" s="1"/>
  <c r="K35" i="5"/>
  <c r="J35" i="5"/>
  <c r="I35" i="5"/>
  <c r="H35" i="5"/>
  <c r="L34" i="5"/>
  <c r="K34" i="5"/>
  <c r="J34" i="5"/>
  <c r="I34" i="5"/>
  <c r="H34" i="5"/>
  <c r="L32" i="5"/>
  <c r="D27" i="6" s="1"/>
  <c r="K32" i="5"/>
  <c r="J32" i="5"/>
  <c r="I32" i="5"/>
  <c r="H32" i="5"/>
  <c r="L30" i="5"/>
  <c r="K30" i="5"/>
  <c r="J30" i="5"/>
  <c r="I30" i="5"/>
  <c r="I11" i="5" s="1"/>
  <c r="H30" i="5"/>
  <c r="L29" i="5"/>
  <c r="D23" i="6" s="1"/>
  <c r="K29" i="5"/>
  <c r="J29" i="5"/>
  <c r="I29" i="5"/>
  <c r="I10" i="5" s="1"/>
  <c r="H29" i="5"/>
  <c r="H10" i="5" s="1"/>
  <c r="L26" i="5"/>
  <c r="D22" i="6" s="1"/>
  <c r="K26" i="5"/>
  <c r="J26" i="5"/>
  <c r="I26" i="5"/>
  <c r="H26" i="5"/>
  <c r="L25" i="5"/>
  <c r="K25" i="5"/>
  <c r="J25" i="5"/>
  <c r="J17" i="5" s="1"/>
  <c r="I25" i="5"/>
  <c r="H25" i="5"/>
  <c r="H20" i="5" s="1"/>
  <c r="I20" i="5"/>
  <c r="K19" i="5"/>
  <c r="J19" i="5"/>
  <c r="L18" i="5"/>
  <c r="K18" i="5"/>
  <c r="H18" i="5"/>
  <c r="I17" i="5"/>
  <c r="I14" i="5"/>
  <c r="K12" i="5"/>
  <c r="I12" i="5"/>
  <c r="G7" i="5"/>
  <c r="I2" i="5"/>
  <c r="J2" i="5" s="1"/>
  <c r="K2" i="5" s="1"/>
  <c r="L2" i="5" s="1"/>
  <c r="M2" i="5" s="1"/>
  <c r="N2" i="5" s="1"/>
  <c r="O2" i="5" s="1"/>
  <c r="P2" i="5" s="1"/>
  <c r="Q2" i="5" s="1"/>
  <c r="H7" i="10" l="1"/>
  <c r="H8" i="10" s="1"/>
  <c r="G6" i="6"/>
  <c r="I6" i="6"/>
  <c r="J6" i="6"/>
  <c r="M126" i="5"/>
  <c r="M124" i="5"/>
  <c r="L11" i="5"/>
  <c r="D24" i="6"/>
  <c r="D33" i="6"/>
  <c r="M63" i="5"/>
  <c r="N63" i="5" s="1"/>
  <c r="O63" i="5" s="1"/>
  <c r="P63" i="5" s="1"/>
  <c r="Q63" i="5" s="1"/>
  <c r="J124" i="5"/>
  <c r="J12" i="5"/>
  <c r="M12" i="5" s="1"/>
  <c r="L69" i="5"/>
  <c r="M67" i="5"/>
  <c r="L124" i="5"/>
  <c r="L125" i="5" s="1"/>
  <c r="K125" i="5"/>
  <c r="H56" i="5"/>
  <c r="H73" i="5" s="1"/>
  <c r="H3" i="5" s="1"/>
  <c r="K17" i="8"/>
  <c r="J17" i="8"/>
  <c r="N17" i="8" s="1"/>
  <c r="K27" i="5"/>
  <c r="K31" i="5" s="1"/>
  <c r="K33" i="5" s="1"/>
  <c r="K36" i="5" s="1"/>
  <c r="K20" i="5"/>
  <c r="K8" i="5"/>
  <c r="D20" i="6"/>
  <c r="L10" i="5"/>
  <c r="L27" i="5"/>
  <c r="L31" i="5" s="1"/>
  <c r="L33" i="5" s="1"/>
  <c r="L36" i="5" s="1"/>
  <c r="L38" i="5" s="1"/>
  <c r="L20" i="5"/>
  <c r="M20" i="5" s="1"/>
  <c r="N20" i="5" s="1"/>
  <c r="O20" i="5" s="1"/>
  <c r="P20" i="5" s="1"/>
  <c r="Q20" i="5" s="1"/>
  <c r="L8" i="5"/>
  <c r="K56" i="5"/>
  <c r="K73" i="5" s="1"/>
  <c r="K3" i="5" s="1"/>
  <c r="K6" i="6"/>
  <c r="M8" i="5" a="1"/>
  <c r="H100" i="5"/>
  <c r="S13" i="7"/>
  <c r="H14" i="8"/>
  <c r="K14" i="8" s="1"/>
  <c r="K13" i="7"/>
  <c r="L127" i="5"/>
  <c r="L13" i="5"/>
  <c r="J102" i="5"/>
  <c r="J104" i="5" s="1"/>
  <c r="J10" i="5"/>
  <c r="J14" i="5"/>
  <c r="J56" i="5"/>
  <c r="J73" i="5" s="1"/>
  <c r="J3" i="5" s="1"/>
  <c r="Q9" i="7"/>
  <c r="J27" i="5"/>
  <c r="J31" i="5" s="1"/>
  <c r="J33" i="5" s="1"/>
  <c r="J36" i="5" s="1"/>
  <c r="J20" i="5"/>
  <c r="J8" i="5"/>
  <c r="M10" i="5"/>
  <c r="N10" i="5" s="1"/>
  <c r="O10" i="5" s="1"/>
  <c r="P10" i="5" s="1"/>
  <c r="Q10" i="5" s="1"/>
  <c r="J125" i="5"/>
  <c r="K9" i="5"/>
  <c r="J9" i="5"/>
  <c r="N9" i="8"/>
  <c r="L9" i="5"/>
  <c r="K13" i="5"/>
  <c r="K127" i="5"/>
  <c r="L56" i="5"/>
  <c r="I84" i="5"/>
  <c r="I102" i="5" s="1"/>
  <c r="I104" i="5" s="1"/>
  <c r="J14" i="8"/>
  <c r="N14" i="8" s="1"/>
  <c r="I56" i="5"/>
  <c r="K14" i="5"/>
  <c r="K17" i="5"/>
  <c r="J11" i="5"/>
  <c r="H19" i="5"/>
  <c r="H65" i="5"/>
  <c r="H71" i="5" s="1"/>
  <c r="I124" i="5"/>
  <c r="I13" i="5" s="1"/>
  <c r="H125" i="5"/>
  <c r="H84" i="5"/>
  <c r="H120" i="5"/>
  <c r="L16" i="5"/>
  <c r="L14" i="5"/>
  <c r="L17" i="5"/>
  <c r="H9" i="5"/>
  <c r="H27" i="5"/>
  <c r="H31" i="5" s="1"/>
  <c r="H33" i="5" s="1"/>
  <c r="H36" i="5" s="1"/>
  <c r="H38" i="5" s="1"/>
  <c r="H16" i="5" s="1"/>
  <c r="H11" i="5"/>
  <c r="I8" i="5"/>
  <c r="K11" i="5"/>
  <c r="H14" i="5"/>
  <c r="M14" i="5" s="1"/>
  <c r="N14" i="5" s="1"/>
  <c r="O14" i="5" s="1"/>
  <c r="P14" i="5" s="1"/>
  <c r="Q14" i="5" s="1"/>
  <c r="I19" i="5"/>
  <c r="I65" i="5"/>
  <c r="I71" i="5" s="1"/>
  <c r="K100" i="5"/>
  <c r="H11" i="8"/>
  <c r="J11" i="8" s="1"/>
  <c r="S10" i="7"/>
  <c r="K10" i="7"/>
  <c r="M103" i="5"/>
  <c r="J18" i="5"/>
  <c r="M18" i="5" s="1"/>
  <c r="N18" i="5" s="1"/>
  <c r="O18" i="5" s="1"/>
  <c r="P18" i="5" s="1"/>
  <c r="Q18" i="5" s="1"/>
  <c r="H18" i="8"/>
  <c r="K17" i="7"/>
  <c r="K10" i="5"/>
  <c r="K84" i="5"/>
  <c r="K102" i="5" s="1"/>
  <c r="K104" i="5" s="1"/>
  <c r="K119" i="5"/>
  <c r="S17" i="7"/>
  <c r="L19" i="5"/>
  <c r="L65" i="5"/>
  <c r="K11" i="7"/>
  <c r="S11" i="7"/>
  <c r="S19" i="7" s="1"/>
  <c r="H12" i="8"/>
  <c r="K115" i="5"/>
  <c r="K14" i="7"/>
  <c r="H93" i="5"/>
  <c r="Q15" i="7"/>
  <c r="H15" i="8"/>
  <c r="J15" i="8" s="1"/>
  <c r="N15" i="8" s="1"/>
  <c r="I93" i="5"/>
  <c r="I9" i="5"/>
  <c r="I27" i="5"/>
  <c r="I31" i="5" s="1"/>
  <c r="I33" i="5" s="1"/>
  <c r="I36" i="5" s="1"/>
  <c r="I38" i="5" s="1"/>
  <c r="I16" i="5" s="1"/>
  <c r="J13" i="5"/>
  <c r="K93" i="5"/>
  <c r="L118" i="5"/>
  <c r="L12" i="5" s="1"/>
  <c r="R8" i="7"/>
  <c r="Q8" i="7"/>
  <c r="K15" i="8"/>
  <c r="H17" i="5"/>
  <c r="J16" i="8"/>
  <c r="N16" i="8" s="1"/>
  <c r="K16" i="8"/>
  <c r="N12" i="5" l="1"/>
  <c r="O12" i="5" s="1"/>
  <c r="P12" i="5" s="1"/>
  <c r="Q12" i="5" s="1"/>
  <c r="M120" i="5"/>
  <c r="M32" i="5" s="1"/>
  <c r="M81" i="5" s="1"/>
  <c r="N11" i="8"/>
  <c r="L119" i="5"/>
  <c r="R13" i="7"/>
  <c r="Q13" i="7"/>
  <c r="K11" i="8"/>
  <c r="J12" i="8"/>
  <c r="N12" i="8" s="1"/>
  <c r="N20" i="8" s="1"/>
  <c r="K12" i="8"/>
  <c r="K18" i="8"/>
  <c r="J18" i="8"/>
  <c r="N18" i="8" s="1"/>
  <c r="J15" i="5"/>
  <c r="J38" i="5"/>
  <c r="J16" i="5" s="1"/>
  <c r="S20" i="7"/>
  <c r="M19" i="5"/>
  <c r="N19" i="5" s="1"/>
  <c r="O19" i="5" s="1"/>
  <c r="P19" i="5" s="1"/>
  <c r="Q19" i="5" s="1"/>
  <c r="M125" i="5"/>
  <c r="M96" i="5" s="1"/>
  <c r="N126" i="5"/>
  <c r="M127" i="5"/>
  <c r="N124" i="5"/>
  <c r="M8" i="5"/>
  <c r="M25" i="5" s="1"/>
  <c r="P8" i="5"/>
  <c r="O8" i="5"/>
  <c r="N8" i="5"/>
  <c r="Q8" i="5"/>
  <c r="Q14" i="7"/>
  <c r="R14" i="7"/>
  <c r="R17" i="7"/>
  <c r="Q17" i="7"/>
  <c r="E20" i="6"/>
  <c r="D25" i="6"/>
  <c r="E25" i="6"/>
  <c r="E27" i="6"/>
  <c r="D43" i="6" s="1"/>
  <c r="I125" i="5"/>
  <c r="H15" i="5"/>
  <c r="M9" i="5"/>
  <c r="N9" i="5" s="1"/>
  <c r="O9" i="5" s="1"/>
  <c r="P9" i="5" s="1"/>
  <c r="Q9" i="5" s="1"/>
  <c r="R10" i="7"/>
  <c r="R20" i="7" s="1"/>
  <c r="Q10" i="7"/>
  <c r="Q20" i="7" s="1"/>
  <c r="H102" i="5"/>
  <c r="H104" i="5" s="1"/>
  <c r="N67" i="5"/>
  <c r="Q11" i="7"/>
  <c r="R11" i="7"/>
  <c r="C7" i="3"/>
  <c r="F7" i="3" s="1"/>
  <c r="G7" i="3" s="1"/>
  <c r="H7" i="3" s="1"/>
  <c r="I7" i="3" s="1"/>
  <c r="J7" i="3" s="1"/>
  <c r="C6" i="3"/>
  <c r="F6" i="3" s="1"/>
  <c r="G6" i="3" s="1"/>
  <c r="H6" i="3" s="1"/>
  <c r="I6" i="3" s="1"/>
  <c r="J6" i="3" s="1"/>
  <c r="L71" i="5"/>
  <c r="L73" i="5" s="1"/>
  <c r="L3" i="5" s="1"/>
  <c r="M11" i="5"/>
  <c r="N11" i="5" s="1"/>
  <c r="O11" i="5" s="1"/>
  <c r="P11" i="5" s="1"/>
  <c r="Q11" i="5" s="1"/>
  <c r="K15" i="5"/>
  <c r="K38" i="5"/>
  <c r="K16" i="5" s="1"/>
  <c r="M16" i="5" s="1"/>
  <c r="N16" i="5" s="1"/>
  <c r="O16" i="5" s="1"/>
  <c r="P16" i="5" s="1"/>
  <c r="Q16" i="5" s="1"/>
  <c r="I15" i="5"/>
  <c r="I73" i="5"/>
  <c r="I3" i="5" s="1"/>
  <c r="L15" i="5"/>
  <c r="M119" i="5" l="1"/>
  <c r="M29" i="5"/>
  <c r="M47" i="5"/>
  <c r="M35" i="5"/>
  <c r="M91" i="5" s="1"/>
  <c r="N25" i="5"/>
  <c r="M55" i="5"/>
  <c r="N55" i="5" s="1"/>
  <c r="M26" i="5"/>
  <c r="M30" i="5"/>
  <c r="M61" i="5"/>
  <c r="N61" i="5" s="1"/>
  <c r="M49" i="5"/>
  <c r="M64" i="5"/>
  <c r="N64" i="5" s="1"/>
  <c r="M54" i="5"/>
  <c r="E28" i="6"/>
  <c r="D28" i="6"/>
  <c r="D26" i="6"/>
  <c r="K21" i="8"/>
  <c r="K20" i="8"/>
  <c r="J21" i="8"/>
  <c r="O67" i="5"/>
  <c r="N21" i="8"/>
  <c r="E45" i="8" s="1"/>
  <c r="E46" i="8" s="1"/>
  <c r="J20" i="8"/>
  <c r="E29" i="8" s="1"/>
  <c r="F20" i="6"/>
  <c r="E31" i="6"/>
  <c r="E23" i="6"/>
  <c r="E24" i="6"/>
  <c r="E21" i="6"/>
  <c r="F27" i="6"/>
  <c r="E43" i="6" s="1"/>
  <c r="E22" i="6"/>
  <c r="R19" i="7"/>
  <c r="Q19" i="7"/>
  <c r="F28" i="6"/>
  <c r="E26" i="6"/>
  <c r="N125" i="5"/>
  <c r="N96" i="5" s="1"/>
  <c r="O126" i="5"/>
  <c r="O124" i="5"/>
  <c r="N127" i="5"/>
  <c r="M15" i="5"/>
  <c r="N15" i="5" s="1"/>
  <c r="O15" i="5" s="1"/>
  <c r="P15" i="5" s="1"/>
  <c r="Q15" i="5" s="1"/>
  <c r="M34" i="5"/>
  <c r="M99" i="5"/>
  <c r="F25" i="6" l="1"/>
  <c r="G28" i="6" s="1"/>
  <c r="E30" i="8"/>
  <c r="E48" i="8"/>
  <c r="N35" i="5"/>
  <c r="N91" i="5" s="1"/>
  <c r="O25" i="5"/>
  <c r="N29" i="5"/>
  <c r="N119" i="5"/>
  <c r="N30" i="5"/>
  <c r="N26" i="5"/>
  <c r="N47" i="5"/>
  <c r="N34" i="5"/>
  <c r="N99" i="5"/>
  <c r="F29" i="6"/>
  <c r="E40" i="6"/>
  <c r="N49" i="5"/>
  <c r="M114" i="5"/>
  <c r="P67" i="5"/>
  <c r="N111" i="5"/>
  <c r="M111" i="5"/>
  <c r="D29" i="6"/>
  <c r="E32" i="6"/>
  <c r="D32" i="6"/>
  <c r="F24" i="6"/>
  <c r="F22" i="6"/>
  <c r="F21" i="6"/>
  <c r="G27" i="6"/>
  <c r="F43" i="6" s="1"/>
  <c r="F31" i="6"/>
  <c r="G32" i="6" s="1"/>
  <c r="G20" i="6"/>
  <c r="F23" i="6"/>
  <c r="M48" i="5"/>
  <c r="M60" i="5"/>
  <c r="P126" i="5"/>
  <c r="O125" i="5"/>
  <c r="O96" i="5" s="1"/>
  <c r="O127" i="5"/>
  <c r="P124" i="5"/>
  <c r="F32" i="6"/>
  <c r="D40" i="6"/>
  <c r="E29" i="6"/>
  <c r="M87" i="5"/>
  <c r="M93" i="5" s="1"/>
  <c r="M121" i="5"/>
  <c r="F30" i="6"/>
  <c r="M82" i="5"/>
  <c r="N54" i="5"/>
  <c r="N89" i="5"/>
  <c r="M89" i="5"/>
  <c r="M27" i="5"/>
  <c r="M31" i="5" s="1"/>
  <c r="M33" i="5" s="1"/>
  <c r="G25" i="6" l="1"/>
  <c r="G26" i="6" s="1"/>
  <c r="F26" i="6"/>
  <c r="G33" i="6"/>
  <c r="H34" i="6" s="1"/>
  <c r="N118" i="5"/>
  <c r="D44" i="6"/>
  <c r="M52" i="5"/>
  <c r="N112" i="5"/>
  <c r="M112" i="5"/>
  <c r="G24" i="6"/>
  <c r="G22" i="6"/>
  <c r="H25" i="6"/>
  <c r="G21" i="6"/>
  <c r="H27" i="6"/>
  <c r="G31" i="6"/>
  <c r="H32" i="6" s="1"/>
  <c r="H20" i="6"/>
  <c r="G23" i="6"/>
  <c r="N48" i="5"/>
  <c r="N60" i="5"/>
  <c r="D41" i="6"/>
  <c r="D42" i="6" s="1"/>
  <c r="M36" i="5"/>
  <c r="O47" i="5"/>
  <c r="O35" i="5"/>
  <c r="O91" i="5" s="1"/>
  <c r="O29" i="5"/>
  <c r="O30" i="5"/>
  <c r="P25" i="5"/>
  <c r="O119" i="5"/>
  <c r="O26" i="5"/>
  <c r="E34" i="6"/>
  <c r="D34" i="6"/>
  <c r="E33" i="6"/>
  <c r="F34" i="6" s="1"/>
  <c r="M115" i="5"/>
  <c r="Q67" i="5"/>
  <c r="N87" i="5"/>
  <c r="N93" i="5" s="1"/>
  <c r="F33" i="6"/>
  <c r="G34" i="6" s="1"/>
  <c r="O49" i="5"/>
  <c r="N114" i="5"/>
  <c r="O34" i="5"/>
  <c r="O99" i="5"/>
  <c r="E42" i="6"/>
  <c r="E41" i="6"/>
  <c r="O54" i="5"/>
  <c r="O89" i="5"/>
  <c r="N27" i="5"/>
  <c r="N31" i="5" s="1"/>
  <c r="Q126" i="5"/>
  <c r="P125" i="5"/>
  <c r="P96" i="5" s="1"/>
  <c r="Q124" i="5"/>
  <c r="P127" i="5"/>
  <c r="O61" i="5"/>
  <c r="P61" i="5" s="1"/>
  <c r="O55" i="5"/>
  <c r="P55" i="5" s="1"/>
  <c r="O64" i="5"/>
  <c r="P64" i="5" s="1"/>
  <c r="M113" i="5"/>
  <c r="M65" i="5"/>
  <c r="G30" i="6"/>
  <c r="N82" i="5"/>
  <c r="G29" i="6"/>
  <c r="F40" i="6"/>
  <c r="H28" i="6" l="1"/>
  <c r="G36" i="6"/>
  <c r="F35" i="6"/>
  <c r="H36" i="6"/>
  <c r="G35" i="6"/>
  <c r="H33" i="6"/>
  <c r="I34" i="6"/>
  <c r="M37" i="5"/>
  <c r="M38" i="5" s="1"/>
  <c r="N33" i="5"/>
  <c r="O60" i="5"/>
  <c r="O48" i="5"/>
  <c r="O87" i="5"/>
  <c r="O93" i="5" s="1"/>
  <c r="N120" i="5"/>
  <c r="N32" i="5" s="1"/>
  <c r="N81" i="5" s="1"/>
  <c r="N121" i="5"/>
  <c r="M83" i="5"/>
  <c r="G43" i="6"/>
  <c r="I43" i="6"/>
  <c r="F41" i="6"/>
  <c r="F42" i="6"/>
  <c r="P99" i="5"/>
  <c r="P34" i="5"/>
  <c r="Q127" i="5"/>
  <c r="Q125" i="5"/>
  <c r="Q96" i="5" s="1"/>
  <c r="D35" i="6"/>
  <c r="E36" i="6"/>
  <c r="D36" i="6"/>
  <c r="F36" i="6"/>
  <c r="E35" i="6"/>
  <c r="O27" i="5"/>
  <c r="O31" i="5" s="1"/>
  <c r="N65" i="5"/>
  <c r="N113" i="5"/>
  <c r="N115" i="5" s="1"/>
  <c r="P30" i="5"/>
  <c r="Q25" i="5"/>
  <c r="P35" i="5"/>
  <c r="P91" i="5" s="1"/>
  <c r="P29" i="5"/>
  <c r="P119" i="5"/>
  <c r="P26" i="5"/>
  <c r="P47" i="5"/>
  <c r="P27" i="5"/>
  <c r="P31" i="5" s="1"/>
  <c r="I20" i="6"/>
  <c r="I27" i="6"/>
  <c r="H43" i="6" s="1"/>
  <c r="H22" i="6"/>
  <c r="H21" i="6"/>
  <c r="H24" i="6"/>
  <c r="H31" i="6"/>
  <c r="H23" i="6"/>
  <c r="I36" i="6"/>
  <c r="H35" i="6"/>
  <c r="Q61" i="5"/>
  <c r="O82" i="5"/>
  <c r="H30" i="6"/>
  <c r="I40" i="6"/>
  <c r="G40" i="6"/>
  <c r="H29" i="6"/>
  <c r="I28" i="6"/>
  <c r="H26" i="6"/>
  <c r="O111" i="5"/>
  <c r="P49" i="5"/>
  <c r="P114" i="5"/>
  <c r="O114" i="5"/>
  <c r="P54" i="5"/>
  <c r="P89" i="5"/>
  <c r="O112" i="5"/>
  <c r="Q55" i="5"/>
  <c r="I25" i="6" l="1"/>
  <c r="D57" i="6" s="1"/>
  <c r="E57" i="6" s="1"/>
  <c r="I32" i="6"/>
  <c r="I33" i="6" s="1"/>
  <c r="I26" i="6"/>
  <c r="M98" i="5"/>
  <c r="M100" i="5" s="1"/>
  <c r="M80" i="5"/>
  <c r="M84" i="5" s="1"/>
  <c r="M102" i="5" s="1"/>
  <c r="M104" i="5" s="1"/>
  <c r="M68" i="5"/>
  <c r="Q111" i="5"/>
  <c r="I35" i="6"/>
  <c r="I29" i="6"/>
  <c r="H40" i="6"/>
  <c r="P111" i="5"/>
  <c r="Q99" i="5"/>
  <c r="Q34" i="5"/>
  <c r="G41" i="6"/>
  <c r="G42" i="6"/>
  <c r="I22" i="6"/>
  <c r="I21" i="6"/>
  <c r="I24" i="6"/>
  <c r="I31" i="6"/>
  <c r="I23" i="6"/>
  <c r="N36" i="5"/>
  <c r="Q49" i="5"/>
  <c r="Q114" i="5"/>
  <c r="N52" i="5"/>
  <c r="O118" i="5"/>
  <c r="E44" i="6"/>
  <c r="E46" i="6" s="1"/>
  <c r="Q119" i="5"/>
  <c r="Q30" i="5"/>
  <c r="Q35" i="5"/>
  <c r="Q91" i="5" s="1"/>
  <c r="Q29" i="5"/>
  <c r="Q26" i="5"/>
  <c r="Q27" i="5" s="1"/>
  <c r="Q31" i="5" s="1"/>
  <c r="Q47" i="5"/>
  <c r="Q54" i="5"/>
  <c r="Q89" i="5" s="1"/>
  <c r="Q64" i="5"/>
  <c r="I30" i="6"/>
  <c r="P82" i="5"/>
  <c r="P60" i="5"/>
  <c r="P48" i="5"/>
  <c r="P87" i="5"/>
  <c r="P93" i="5" s="1"/>
  <c r="N83" i="5"/>
  <c r="O65" i="5"/>
  <c r="O113" i="5"/>
  <c r="O115" i="5" s="1"/>
  <c r="O83" i="5" l="1"/>
  <c r="Q87" i="5"/>
  <c r="Q93" i="5" s="1"/>
  <c r="P112" i="5"/>
  <c r="P115" i="5" s="1"/>
  <c r="E52" i="6"/>
  <c r="O120" i="5"/>
  <c r="O32" i="5" s="1"/>
  <c r="O121" i="5"/>
  <c r="M69" i="5"/>
  <c r="M71" i="5" s="1"/>
  <c r="M45" i="5" s="1"/>
  <c r="Q82" i="5"/>
  <c r="P65" i="5"/>
  <c r="P113" i="5"/>
  <c r="I41" i="6"/>
  <c r="H41" i="6"/>
  <c r="I42" i="6" s="1"/>
  <c r="Q48" i="5"/>
  <c r="Q112" i="5" s="1"/>
  <c r="Q60" i="5"/>
  <c r="N37" i="5"/>
  <c r="N38" i="5" s="1"/>
  <c r="H42" i="6" l="1"/>
  <c r="N98" i="5"/>
  <c r="N100" i="5" s="1"/>
  <c r="N80" i="5"/>
  <c r="N84" i="5" s="1"/>
  <c r="P83" i="5"/>
  <c r="Q65" i="5"/>
  <c r="Q113" i="5"/>
  <c r="Q115" i="5" s="1"/>
  <c r="O81" i="5"/>
  <c r="O33" i="5"/>
  <c r="F44" i="6"/>
  <c r="F46" i="6" s="1"/>
  <c r="P118" i="5"/>
  <c r="O52" i="5"/>
  <c r="N103" i="5"/>
  <c r="M56" i="5"/>
  <c r="M73" i="5" s="1"/>
  <c r="M3" i="5" s="1"/>
  <c r="Q83" i="5" l="1"/>
  <c r="D45" i="6"/>
  <c r="D46" i="6" s="1"/>
  <c r="D52" i="6" s="1"/>
  <c r="P120" i="5"/>
  <c r="P32" i="5" s="1"/>
  <c r="P121" i="5"/>
  <c r="F52" i="6"/>
  <c r="O36" i="5"/>
  <c r="N68" i="5"/>
  <c r="N102" i="5"/>
  <c r="N104" i="5" s="1"/>
  <c r="G44" i="6" l="1"/>
  <c r="G46" i="6" s="1"/>
  <c r="P52" i="5"/>
  <c r="Q118" i="5"/>
  <c r="O37" i="5"/>
  <c r="O38" i="5" s="1"/>
  <c r="N69" i="5"/>
  <c r="N71" i="5" s="1"/>
  <c r="N45" i="5" s="1"/>
  <c r="P81" i="5"/>
  <c r="P33" i="5"/>
  <c r="O98" i="5" l="1"/>
  <c r="O100" i="5" s="1"/>
  <c r="O80" i="5"/>
  <c r="O84" i="5" s="1"/>
  <c r="P36" i="5"/>
  <c r="N56" i="5"/>
  <c r="N73" i="5" s="1"/>
  <c r="N3" i="5" s="1"/>
  <c r="O103" i="5"/>
  <c r="Q120" i="5"/>
  <c r="Q32" i="5" s="1"/>
  <c r="G52" i="6"/>
  <c r="Q81" i="5" l="1"/>
  <c r="Q33" i="5"/>
  <c r="Q121" i="5"/>
  <c r="P37" i="5"/>
  <c r="P38" i="5" s="1"/>
  <c r="O68" i="5"/>
  <c r="O102" i="5"/>
  <c r="O104" i="5" s="1"/>
  <c r="P98" i="5" l="1"/>
  <c r="P100" i="5" s="1"/>
  <c r="P80" i="5"/>
  <c r="P84" i="5" s="1"/>
  <c r="P102" i="5" s="1"/>
  <c r="H44" i="6"/>
  <c r="Q52" i="5"/>
  <c r="I44" i="6"/>
  <c r="Q36" i="5"/>
  <c r="P68" i="5"/>
  <c r="O69" i="5"/>
  <c r="O71" i="5" s="1"/>
  <c r="O45" i="5" s="1"/>
  <c r="O56" i="5" l="1"/>
  <c r="O73" i="5" s="1"/>
  <c r="O3" i="5" s="1"/>
  <c r="P103" i="5"/>
  <c r="P104" i="5" s="1"/>
  <c r="P69" i="5"/>
  <c r="P71" i="5" s="1"/>
  <c r="P45" i="5" s="1"/>
  <c r="Q37" i="5"/>
  <c r="Q38" i="5"/>
  <c r="I46" i="6"/>
  <c r="H46" i="6"/>
  <c r="I52" i="6" l="1"/>
  <c r="H52" i="6"/>
  <c r="D53" i="6" s="1"/>
  <c r="D56" i="6"/>
  <c r="E56" i="6" s="1"/>
  <c r="E72" i="6"/>
  <c r="D73" i="6"/>
  <c r="D72" i="6"/>
  <c r="B72" i="6"/>
  <c r="F72" i="6"/>
  <c r="F71" i="6"/>
  <c r="G75" i="6"/>
  <c r="C75" i="6"/>
  <c r="D74" i="6"/>
  <c r="B71" i="6"/>
  <c r="B75" i="6"/>
  <c r="G74" i="6"/>
  <c r="C73" i="6"/>
  <c r="F75" i="6"/>
  <c r="E75" i="6"/>
  <c r="G72" i="6"/>
  <c r="G71" i="6"/>
  <c r="E74" i="6"/>
  <c r="C72" i="6"/>
  <c r="D75" i="6"/>
  <c r="C74" i="6"/>
  <c r="E71" i="6"/>
  <c r="D71" i="6"/>
  <c r="F74" i="6"/>
  <c r="C71" i="6"/>
  <c r="F73" i="6"/>
  <c r="B74" i="6"/>
  <c r="G73" i="6"/>
  <c r="E73" i="6"/>
  <c r="B73" i="6"/>
  <c r="Q80" i="5"/>
  <c r="Q84" i="5" s="1"/>
  <c r="Q102" i="5" s="1"/>
  <c r="Q104" i="5" s="1"/>
  <c r="Q98" i="5"/>
  <c r="Q100" i="5" s="1"/>
  <c r="Q103" i="5"/>
  <c r="P56" i="5"/>
  <c r="P73" i="5" s="1"/>
  <c r="P3" i="5" s="1"/>
  <c r="Q68" i="5"/>
  <c r="Q69" i="5" s="1"/>
  <c r="Q71" i="5" s="1"/>
  <c r="Q45" i="5" s="1"/>
  <c r="Q56" i="5" s="1"/>
  <c r="Q73" i="5" s="1"/>
  <c r="Q3" i="5" s="1"/>
  <c r="F56" i="6" l="1"/>
  <c r="E61" i="6"/>
  <c r="E63" i="6" s="1"/>
  <c r="E65" i="6" s="1"/>
  <c r="E67" i="6" s="1"/>
  <c r="D61" i="6"/>
  <c r="F57" i="6"/>
  <c r="D63" i="6" l="1"/>
  <c r="D65" i="6" s="1"/>
  <c r="D67" i="6" s="1"/>
  <c r="F61" i="6"/>
  <c r="F63" i="6" s="1"/>
  <c r="F65" i="6" s="1"/>
  <c r="F67" i="6" s="1"/>
</calcChain>
</file>

<file path=xl/sharedStrings.xml><?xml version="1.0" encoding="utf-8"?>
<sst xmlns="http://schemas.openxmlformats.org/spreadsheetml/2006/main" count="707" uniqueCount="508">
  <si>
    <t>KSB LTD</t>
  </si>
  <si>
    <t>Particular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</si>
  <si>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</si>
  <si>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</si>
  <si>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</si>
  <si>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</si>
  <si>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</si>
  <si>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</si>
  <si>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</si>
  <si>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</t>
  </si>
  <si>
    <t>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</si>
  <si>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</si>
  <si>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</si>
  <si>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</si>
  <si>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</si>
  <si>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</si>
  <si>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share of net profit of associate accounted</t>
  </si>
  <si>
    <t>for using the equity method and tax</t>
  </si>
  <si>
    <t>Share of net profit of associate accounted for using</t>
  </si>
  <si>
    <t>the equity method</t>
  </si>
  <si>
    <t>Profit before tax</t>
  </si>
  <si>
    <t>Tax expense</t>
  </si>
  <si>
    <t>Current tax</t>
  </si>
  <si>
    <t>Deferred tax</t>
  </si>
  <si>
    <t>Total tax expense</t>
  </si>
  <si>
    <t>Profit for the year</t>
  </si>
  <si>
    <t>Other comprehensive income</t>
  </si>
  <si>
    <t>Items that will not be reclassified to profit or loss</t>
  </si>
  <si>
    <t>Remeasurement of post-employment benefit obligations</t>
  </si>
  <si>
    <t>Income tax relating to items that will not be reclassified to</t>
  </si>
  <si>
    <t>profit or loss</t>
  </si>
  <si>
    <t>Share of Other comprehensive income of associate</t>
  </si>
  <si>
    <t>accounted for using the equity method</t>
  </si>
  <si>
    <t>Total other comprehensive income for the year, net of tax</t>
  </si>
  <si>
    <t>Total comprehensive income for the year</t>
  </si>
  <si>
    <t>Earnings per equity share</t>
  </si>
  <si>
    <t>Basic and Diluted (face value of ` 2/- each)</t>
  </si>
  <si>
    <t>ASSETS</t>
  </si>
  <si>
    <t>I.</t>
  </si>
  <si>
    <t xml:space="preserve"> Non-current assets</t>
  </si>
  <si>
    <t>Property, plant and equipment</t>
  </si>
  <si>
    <t>Right-of-use assets</t>
  </si>
  <si>
    <t>Capital work-in-progress</t>
  </si>
  <si>
    <t>Other Intangible assets</t>
  </si>
  <si>
    <t>Intangible assets under development</t>
  </si>
  <si>
    <t>Financial assets</t>
  </si>
  <si>
    <t>(a) Investments</t>
  </si>
  <si>
    <t>(b) Trade receivables</t>
  </si>
  <si>
    <t>(c) Loans</t>
  </si>
  <si>
    <t>(d) Other financial assets</t>
  </si>
  <si>
    <t>Deferred tax Current (net)</t>
  </si>
  <si>
    <t>Assets for current tax (net)</t>
  </si>
  <si>
    <t>Other non-current assets</t>
  </si>
  <si>
    <t>Total non-current assets</t>
  </si>
  <si>
    <t>II.</t>
  </si>
  <si>
    <t xml:space="preserve"> Current assets</t>
  </si>
  <si>
    <t>Inventories</t>
  </si>
  <si>
    <t>(a) Trade receivables</t>
  </si>
  <si>
    <t>(b) Cash and cash equivalents</t>
  </si>
  <si>
    <t>(c) Bank balances other than (b) above</t>
  </si>
  <si>
    <t>(d) Loans</t>
  </si>
  <si>
    <t>(e) 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</si>
  <si>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</si>
  <si>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</si>
  <si>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</si>
  <si>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</si>
  <si>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</si>
  <si>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</si>
  <si>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</si>
  <si>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</si>
  <si>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</si>
  <si>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I. Non-current liabilities</t>
  </si>
  <si>
    <t>Financial liabilities</t>
  </si>
  <si>
    <t>(a) Lease liabilities</t>
  </si>
  <si>
    <t>Provisions</t>
  </si>
  <si>
    <t>Deferred tax liabilities (net)</t>
  </si>
  <si>
    <t>Total non-current liabilities</t>
  </si>
  <si>
    <t>II. Current liabilities</t>
  </si>
  <si>
    <t>(b) Trade payables</t>
  </si>
  <si>
    <t>Total outstanding dues of micro enterprises</t>
  </si>
  <si>
    <t>and small enterprises</t>
  </si>
  <si>
    <t>Total outstanding dues of creditors other than</t>
  </si>
  <si>
    <t>micro enterprises and small enterprises</t>
  </si>
  <si>
    <t>(c) 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</si>
  <si>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</si>
  <si>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</si>
  <si>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</si>
  <si>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</si>
  <si>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</si>
  <si>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Scenario</t>
  </si>
  <si>
    <t>Growth(%)</t>
  </si>
  <si>
    <t>Base Case</t>
  </si>
  <si>
    <t>Bull Case</t>
  </si>
  <si>
    <t>Bear Case</t>
  </si>
  <si>
    <t>Annual Growth Tampering</t>
  </si>
  <si>
    <t xml:space="preserve">A. </t>
  </si>
  <si>
    <t>Cash flow from operating activities</t>
  </si>
  <si>
    <t>Adjustments for :</t>
  </si>
  <si>
    <t>Net (gain)/loss on disposal of property,</t>
  </si>
  <si>
    <t>plant and equipment</t>
  </si>
  <si>
    <t>Interest income</t>
  </si>
  <si>
    <t>Fair value loss in derivative financial instruments</t>
  </si>
  <si>
    <t>Sundry credit balances and provisions</t>
  </si>
  <si>
    <t>no longer required, written back</t>
  </si>
  <si>
    <t>Unrealised foreign exchange gain</t>
  </si>
  <si>
    <t>Allowance for doubtful receivables</t>
  </si>
  <si>
    <t>Share of net profit of associates</t>
  </si>
  <si>
    <t>Operating profit before working capital</t>
  </si>
  <si>
    <t>Adjustment for changes in working capital:</t>
  </si>
  <si>
    <t>(Increase) / decrease in operating assets:</t>
  </si>
  <si>
    <t>Trade receivables</t>
  </si>
  <si>
    <t>Loans</t>
  </si>
  <si>
    <t>Other financial assets</t>
  </si>
  <si>
    <t>Other assets</t>
  </si>
  <si>
    <t>Increase / (decrease) in operating liabilities:</t>
  </si>
  <si>
    <t>Trade payables</t>
  </si>
  <si>
    <t>Other financial liabilities</t>
  </si>
  <si>
    <t>Other liabilities</t>
  </si>
  <si>
    <t>Cash generated from operations</t>
  </si>
  <si>
    <t>Income taxes paid (net of refunds)</t>
  </si>
  <si>
    <t>Net cash flows generated from operating activities (A)</t>
  </si>
  <si>
    <t>B.</t>
  </si>
  <si>
    <t>Cash flows from investing activities</t>
  </si>
  <si>
    <t>Purchase of property, plant and equipment</t>
  </si>
  <si>
    <t>and intangible assets</t>
  </si>
  <si>
    <t>Proceeds from disposal of property, plant</t>
  </si>
  <si>
    <t>and equipment</t>
  </si>
  <si>
    <t>Investment in fixed deposits</t>
  </si>
  <si>
    <t>Redemption of fixed deposits / Other investing inflows</t>
  </si>
  <si>
    <t>Interest received</t>
  </si>
  <si>
    <t>Income from trade investments (non-current)</t>
  </si>
  <si>
    <t>Net cash flows generated from/(used in) investing activities (B)</t>
  </si>
  <si>
    <t>C.</t>
  </si>
  <si>
    <t>Cash flows from financing activities</t>
  </si>
  <si>
    <t>Proceeds from current borrowings</t>
  </si>
  <si>
    <t>Repayment of current borrowings</t>
  </si>
  <si>
    <t>Interest paid</t>
  </si>
  <si>
    <t>Repayment of lease liabilities</t>
  </si>
  <si>
    <t>Dividends paid</t>
  </si>
  <si>
    <t>Net cash flows used in financing activities (C)</t>
  </si>
  <si>
    <t>Net decrease in Cash and cash equivalents (A+B+C)</t>
  </si>
  <si>
    <t>Cash and cash equivalents at the beginning of the year</t>
  </si>
  <si>
    <t>Effects of exchange rate changes on cash and cash equivalents</t>
  </si>
  <si>
    <t>Cash and cash equivalents at the end of the year</t>
  </si>
  <si>
    <t>Historical Period</t>
  </si>
  <si>
    <t>Forecasting Period</t>
  </si>
  <si>
    <t>Financial Statement &amp; DCF Analysis</t>
  </si>
  <si>
    <t>Master check</t>
  </si>
  <si>
    <t>Ratio &amp; Assumptions</t>
  </si>
  <si>
    <t>Units</t>
  </si>
  <si>
    <t>Revenue Growth Rate</t>
  </si>
  <si>
    <t>%</t>
  </si>
  <si>
    <t>N/A</t>
  </si>
  <si>
    <t>COGS (% of Revenue)</t>
  </si>
  <si>
    <t>Salary (% of Revenue)</t>
  </si>
  <si>
    <t>Other SG&amp;A (% of Revenue)</t>
  </si>
  <si>
    <t>Depreciation &amp; Amortization (% of PPE)</t>
  </si>
  <si>
    <t>Interest (% of debt)</t>
  </si>
  <si>
    <t>Other Income (Expenses)(% of Revenue)</t>
  </si>
  <si>
    <t>Taxes Rate (% of Earning Before Tax)</t>
  </si>
  <si>
    <t xml:space="preserve">Divident Payout Ratio </t>
  </si>
  <si>
    <t>Account Recievable</t>
  </si>
  <si>
    <t>Days</t>
  </si>
  <si>
    <t>Inventory</t>
  </si>
  <si>
    <t>Account Payable</t>
  </si>
  <si>
    <t>Capital Asset Turnover Ratio</t>
  </si>
  <si>
    <t>Times</t>
  </si>
  <si>
    <t>Income Statement</t>
  </si>
  <si>
    <t>Revenue</t>
  </si>
  <si>
    <t>₹ in MM</t>
  </si>
  <si>
    <t>Cost of Good Solds (COGS)</t>
  </si>
  <si>
    <t>Gross Profit</t>
  </si>
  <si>
    <t>Salaries &amp; Benefits</t>
  </si>
  <si>
    <t>Other SG&amp;A Expenses</t>
  </si>
  <si>
    <t>EBITDA</t>
  </si>
  <si>
    <t xml:space="preserve">Depreciation &amp; Amortization Expenses </t>
  </si>
  <si>
    <t>EBIT</t>
  </si>
  <si>
    <t>Interest</t>
  </si>
  <si>
    <t>Other Income (Expenses)</t>
  </si>
  <si>
    <t>Earning Before Tax</t>
  </si>
  <si>
    <t>Taxes</t>
  </si>
  <si>
    <t>Net Earing</t>
  </si>
  <si>
    <t>Balance Sheet</t>
  </si>
  <si>
    <t>Asset</t>
  </si>
  <si>
    <t>Current Asset :</t>
  </si>
  <si>
    <t>Cash</t>
  </si>
  <si>
    <t>Bank Deposits</t>
  </si>
  <si>
    <t>Account Receivable</t>
  </si>
  <si>
    <t>Other Current Assets</t>
  </si>
  <si>
    <t>Non Current Assets :</t>
  </si>
  <si>
    <t>Property &amp; equipment</t>
  </si>
  <si>
    <t>Godwill</t>
  </si>
  <si>
    <t>Financial Assets</t>
  </si>
  <si>
    <t>Other Non Current Assets</t>
  </si>
  <si>
    <t>Liabilities</t>
  </si>
  <si>
    <t>Current Liabilities :</t>
  </si>
  <si>
    <t>Other Current Liabilities</t>
  </si>
  <si>
    <t>Non- Current Liabilities</t>
  </si>
  <si>
    <t>Debt</t>
  </si>
  <si>
    <t>Other Non Current Liabilities</t>
  </si>
  <si>
    <t>Shareholder Equity</t>
  </si>
  <si>
    <t>Equity Capital</t>
  </si>
  <si>
    <t>Retained Earning</t>
  </si>
  <si>
    <t>Total Shareholder Equity</t>
  </si>
  <si>
    <t>Non- Controlling Interest</t>
  </si>
  <si>
    <t>Total Liabilities &amp; Shareholder Equity</t>
  </si>
  <si>
    <t>Check</t>
  </si>
  <si>
    <t>Cash Flow Statement</t>
  </si>
  <si>
    <t>Operating Cash Flow</t>
  </si>
  <si>
    <t>Net Earings</t>
  </si>
  <si>
    <t>Plus: Depreciation &amp; Amortization</t>
  </si>
  <si>
    <t>Plus/Less : Adjustment for non-operating item</t>
  </si>
  <si>
    <t>Plus/Less : Adjustment for operating Asset &amp; liabities</t>
  </si>
  <si>
    <t>Cash From Operation</t>
  </si>
  <si>
    <t>Investing Cash Flow</t>
  </si>
  <si>
    <t>Investment in Property &amp; Equipnment</t>
  </si>
  <si>
    <t>Sale of Property, Plant and Equipnment</t>
  </si>
  <si>
    <t>Net Proceed from sale of Investment</t>
  </si>
  <si>
    <t>Dividend received</t>
  </si>
  <si>
    <t>Rent received</t>
  </si>
  <si>
    <t>Cash From Investing</t>
  </si>
  <si>
    <t>Financing cash Flow</t>
  </si>
  <si>
    <t>Issuance(Repayment) of Debt</t>
  </si>
  <si>
    <t>Issuance(Repayment) of Preferrance Share - NCI</t>
  </si>
  <si>
    <t>Dividend Paid</t>
  </si>
  <si>
    <t>Interest Paid</t>
  </si>
  <si>
    <t>Cash From Financing</t>
  </si>
  <si>
    <t>Net Increase (Decrease) in Cash</t>
  </si>
  <si>
    <t>Opening Cash Balance</t>
  </si>
  <si>
    <t>Closing Balance</t>
  </si>
  <si>
    <t>Supporting Schedule</t>
  </si>
  <si>
    <t>Working Capital</t>
  </si>
  <si>
    <t>Others</t>
  </si>
  <si>
    <t>Total</t>
  </si>
  <si>
    <t>Depreciation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</si>
  <si>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</si>
  <si>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</si>
  <si>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</si>
  <si>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</si>
  <si>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</si>
  <si>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</si>
  <si>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Issuance(Repayement)</t>
  </si>
  <si>
    <t>Debt Closing</t>
  </si>
  <si>
    <t>Interest Expenses</t>
  </si>
  <si>
    <t>Tax Rate</t>
  </si>
  <si>
    <t>EV/EBITDA</t>
  </si>
  <si>
    <t>Average</t>
  </si>
  <si>
    <t>Less: Capex</t>
  </si>
  <si>
    <t>Market Cap</t>
  </si>
  <si>
    <t>Equity Value</t>
  </si>
  <si>
    <t>KSB LIMITED — DCF VALUATION MODEL (FCFF Method) | INR Millions</t>
  </si>
  <si>
    <t>Scenario-linked via dropdown (E5) → CHOOSE pulls from Scenario sheet | Yellow=Input | Base/Bull/Bear</t>
  </si>
  <si>
    <t>SCENARIO SELECTOR</t>
  </si>
  <si>
    <t>► Select Scenario :</t>
  </si>
  <si>
    <t>Revenue Growth (Scenario-linked):</t>
  </si>
  <si>
    <t>KEY ASSUMPTIONS</t>
  </si>
  <si>
    <t>Parameter</t>
  </si>
  <si>
    <t>Value</t>
  </si>
  <si>
    <t>Notes</t>
  </si>
  <si>
    <t>WACC</t>
  </si>
  <si>
    <t>From WACC sheet — Ke=12.18%, Kd=5.63%, We=99.75%</t>
  </si>
  <si>
    <t>Effective rate consistent with FY2025 actuals</t>
  </si>
  <si>
    <t>EV/EBITDA Exit Multiple</t>
  </si>
  <si>
    <t>Conservative vs peer median 25x | KSB trades 36x</t>
  </si>
  <si>
    <t>Terminal Growth Rate (g)</t>
  </si>
  <si>
    <t>Long-term nominal GDP proxy = 4%</t>
  </si>
  <si>
    <t>Shares Outstanding (Crores)</t>
  </si>
  <si>
    <t>FV ₹2 | Source: BSE</t>
  </si>
  <si>
    <t>Net Cash FY2025 (₹ MM)</t>
  </si>
  <si>
    <t>Cash+FDs 18,340 − Lease Liab 42 = 18,298</t>
  </si>
  <si>
    <t>Current Market Price (₹)</t>
  </si>
  <si>
    <t>NSE price Apr 2026</t>
  </si>
  <si>
    <t>INCOME STATEMENT PROJECTIONS</t>
  </si>
  <si>
    <t>Line Item</t>
  </si>
  <si>
    <t>FY2025A</t>
  </si>
  <si>
    <t>FY2026E</t>
  </si>
  <si>
    <t>FY2027E</t>
  </si>
  <si>
    <t>FY2028E</t>
  </si>
  <si>
    <t>FY2029E</t>
  </si>
  <si>
    <t>FY2030E</t>
  </si>
  <si>
    <t>₹ MM</t>
  </si>
  <si>
    <t>Revenue Growth %</t>
  </si>
  <si>
    <t>—</t>
  </si>
  <si>
    <t>COGS</t>
  </si>
  <si>
    <t>Salaries</t>
  </si>
  <si>
    <t>Other SG&amp;A</t>
  </si>
  <si>
    <t>EBITDA Margin</t>
  </si>
  <si>
    <t>D&amp;A</t>
  </si>
  <si>
    <t>EBIT Margin</t>
  </si>
  <si>
    <t>Other Income</t>
  </si>
  <si>
    <t>PBT</t>
  </si>
  <si>
    <t>Tax</t>
  </si>
  <si>
    <t>Net Earning</t>
  </si>
  <si>
    <t>Net Margin</t>
  </si>
  <si>
    <t>EPS (FV ₹2)</t>
  </si>
  <si>
    <t>FREE CASH FLOW TO FIRM (FCFF)</t>
  </si>
  <si>
    <t>Less: Cash Tax on EBIT</t>
  </si>
  <si>
    <t>NOPAT</t>
  </si>
  <si>
    <t>Add: D&amp;A</t>
  </si>
  <si>
    <t>Less: Change in NWC</t>
  </si>
  <si>
    <t>FCFF</t>
  </si>
  <si>
    <t>DCF — DISCOUNT &amp; VALUATION</t>
  </si>
  <si>
    <t>Discount Period (n)</t>
  </si>
  <si>
    <t>Discount Factor = 1/(1+WACC)^n</t>
  </si>
  <si>
    <t>PV of FCFF</t>
  </si>
  <si>
    <t>Sum of PV of FCFFs</t>
  </si>
  <si>
    <t>← Sum of discounted FCFFs over 5-year forecast period</t>
  </si>
  <si>
    <t>TERMINAL VALUE CALCULATION</t>
  </si>
  <si>
    <t>TV (₹ MM)</t>
  </si>
  <si>
    <t>PV of TV</t>
  </si>
  <si>
    <t>TV % of EV</t>
  </si>
  <si>
    <t>Gordon Growth (g=4%)</t>
  </si>
  <si>
    <t>FCFF₂₀₃₀×(1+g)/(WACC−g)</t>
  </si>
  <si>
    <t>Exit Multiple (15x EBITDA)</t>
  </si>
  <si>
    <t>EBITDA₂₀₃₀ × 15x Exit Multiple</t>
  </si>
  <si>
    <t>ENTERPRISE VALUE → EQUITY VALUE → SHARE PRICE</t>
  </si>
  <si>
    <t>Gordon Growth</t>
  </si>
  <si>
    <t>Exit Multiple</t>
  </si>
  <si>
    <t>Enterprise Value (EV)</t>
  </si>
  <si>
    <t>Sum PV FCFFs + PV Terminal Value</t>
  </si>
  <si>
    <t>Add: Net Cash (₹ MM)</t>
  </si>
  <si>
    <t>Cash+FDs 18,340 − Lease Liabilities 42 = 18,298</t>
  </si>
  <si>
    <t>Equity Value (₹ MM)</t>
  </si>
  <si>
    <t>EV + Net Cash</t>
  </si>
  <si>
    <t>Shares Outstanding (MM)</t>
  </si>
  <si>
    <t>17.4 Crore × 10 = 174 MM shares</t>
  </si>
  <si>
    <t>Implied Share Price (₹)</t>
  </si>
  <si>
    <t>Equity Value / Shares</t>
  </si>
  <si>
    <t>Upside / (Downside) %</t>
  </si>
  <si>
    <t>vs current market price</t>
  </si>
  <si>
    <t>SENSITIVITY — Implied Share Price (₹) | Gordon Growth | Base WACC=11.63%, g=4%</t>
  </si>
  <si>
    <t>WACC →</t>
  </si>
  <si>
    <t>9.0%</t>
  </si>
  <si>
    <t>10.0%</t>
  </si>
  <si>
    <t>11.6%</t>
  </si>
  <si>
    <t>12.0%</t>
  </si>
  <si>
    <t>13.0%</t>
  </si>
  <si>
    <t>14.0%</t>
  </si>
  <si>
    <t>g↕</t>
  </si>
  <si>
    <t>g = 2%</t>
  </si>
  <si>
    <t>g=2%</t>
  </si>
  <si>
    <t>g = 3%</t>
  </si>
  <si>
    <t>g=3%</t>
  </si>
  <si>
    <t>g = 4%</t>
  </si>
  <si>
    <t>g=4%</t>
  </si>
  <si>
    <t>g = 5%</t>
  </si>
  <si>
    <t>g=5%</t>
  </si>
  <si>
    <t>g = 6%</t>
  </si>
  <si>
    <t>g=6%</t>
  </si>
  <si>
    <t>Comp Valuation</t>
  </si>
  <si>
    <t>Market Data</t>
  </si>
  <si>
    <t>Financial Data</t>
  </si>
  <si>
    <t>Valuation</t>
  </si>
  <si>
    <t>Ticker</t>
  </si>
  <si>
    <t>Price</t>
  </si>
  <si>
    <t>Shares</t>
  </si>
  <si>
    <t>EV</t>
  </si>
  <si>
    <t>Sales</t>
  </si>
  <si>
    <t>Earning</t>
  </si>
  <si>
    <t>Ev/Sale</t>
  </si>
  <si>
    <t>Ev/EBITDA</t>
  </si>
  <si>
    <t>P/E</t>
  </si>
  <si>
    <t>Company</t>
  </si>
  <si>
    <t>(₹/Share)</t>
  </si>
  <si>
    <t>M</t>
  </si>
  <si>
    <t>x</t>
  </si>
  <si>
    <t>Kirloskar Brothers Ltd</t>
  </si>
  <si>
    <t>KIRLOSBROS</t>
  </si>
  <si>
    <t>Elgi Equipments Ltd</t>
  </si>
  <si>
    <t>ELGIEQUIP</t>
  </si>
  <si>
    <t>Cummins India Ltd</t>
  </si>
  <si>
    <t>CUMMINSI</t>
  </si>
  <si>
    <t>Triveni Turbine Ltd</t>
  </si>
  <si>
    <t>TRITURBINE</t>
  </si>
  <si>
    <t>Ingersoll Rand India</t>
  </si>
  <si>
    <t>INGERRAN</t>
  </si>
  <si>
    <t>Shakti Pumps India Ltd</t>
  </si>
  <si>
    <t>SHAKTIPU</t>
  </si>
  <si>
    <t>WPIL Ltd</t>
  </si>
  <si>
    <t>WPIL</t>
  </si>
  <si>
    <t>Roto Pumps Ltd</t>
  </si>
  <si>
    <t>ROTOPUMP</t>
  </si>
  <si>
    <t>Isgec Heavy Engineering</t>
  </si>
  <si>
    <t>ISGEC</t>
  </si>
  <si>
    <t>Grindwell Norton Ltd</t>
  </si>
  <si>
    <t>GRINDWEL</t>
  </si>
  <si>
    <t>Median</t>
  </si>
  <si>
    <t>KSB Limited</t>
  </si>
  <si>
    <t>KSB</t>
  </si>
  <si>
    <t>Metric</t>
  </si>
  <si>
    <t>Comp</t>
  </si>
  <si>
    <t>Key Metric</t>
  </si>
  <si>
    <t>Net Debt
(Debt−Cash)</t>
  </si>
  <si>
    <t>Equity Value
(EV−Debt+Cash)</t>
  </si>
  <si>
    <t>Share</t>
  </si>
  <si>
    <t>Share Price</t>
  </si>
  <si>
    <t>X</t>
  </si>
  <si>
    <t>MM</t>
  </si>
  <si>
    <t>Crs</t>
  </si>
  <si>
    <t>EV/Revenue</t>
  </si>
  <si>
    <t>Current Market Price</t>
  </si>
  <si>
    <t>Weighted-Average Cost of Capital (WACC)</t>
  </si>
  <si>
    <t>Comparable Companies Beta</t>
  </si>
  <si>
    <t>Total Debt</t>
  </si>
  <si>
    <t>Debt/Equity</t>
  </si>
  <si>
    <t>Debt/Capital</t>
  </si>
  <si>
    <t>Levered Beta</t>
  </si>
  <si>
    <t>Unlevered Beta</t>
  </si>
  <si>
    <t>CUMMINSIND</t>
  </si>
  <si>
    <t>INGERRAND</t>
  </si>
  <si>
    <t>SHAKTIPUMP</t>
  </si>
  <si>
    <t>ROTOPUMPS</t>
  </si>
  <si>
    <t>GRINDWELL</t>
  </si>
  <si>
    <t>Source: NSE/BSE</t>
  </si>
  <si>
    <t>WACC Calculation</t>
  </si>
  <si>
    <t>Total Capital Structure</t>
  </si>
  <si>
    <t>Proportion of debt</t>
  </si>
  <si>
    <t>Proportion of Equity</t>
  </si>
  <si>
    <t>Current Capital Structure</t>
  </si>
  <si>
    <t>← Lease Liabilities only per Annual Report (no bank borrowings). Screener shows 520 incorrectly.</t>
  </si>
  <si>
    <t>Cost Of Debt</t>
  </si>
  <si>
    <t>Pre-tax Cost of Debt</t>
  </si>
  <si>
    <t xml:space="preserve">After-Tax Cost of Debt </t>
  </si>
  <si>
    <t>Cost Of Equity</t>
  </si>
  <si>
    <t>Risk Free Rate</t>
  </si>
  <si>
    <t>Equity Market Return</t>
  </si>
  <si>
    <t>Equity Risk Premium</t>
  </si>
  <si>
    <t>Levered Equity Beta</t>
  </si>
  <si>
    <t>Cost of Equity</t>
  </si>
  <si>
    <t>Company Beta — 5 Year Monthly Returns (Apr 2021 – Apr 2026)</t>
  </si>
  <si>
    <t>Month</t>
  </si>
  <si>
    <t>Index Close Price
(Nifty 50)</t>
  </si>
  <si>
    <t>% Change
Monthly</t>
  </si>
  <si>
    <t>Stock Close Price
(KSB)</t>
  </si>
  <si>
    <t>Apr-21</t>
  </si>
  <si>
    <t>May-21</t>
  </si>
  <si>
    <t>Max</t>
  </si>
  <si>
    <t>Jun-21</t>
  </si>
  <si>
    <t>Min</t>
  </si>
  <si>
    <t>Jul-21</t>
  </si>
  <si>
    <t>Aug-21</t>
  </si>
  <si>
    <t>Sep-21</t>
  </si>
  <si>
    <t>Beta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</si>
  <si>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</si>
  <si>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</si>
  <si>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</si>
  <si>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</si>
  <si>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</si>
  <si>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</si>
  <si>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</si>
  <si>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</si>
  <si>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</si>
  <si>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</si>
  <si>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</si>
  <si>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</si>
  <si>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</si>
  <si>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</si>
  <si>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</si>
  <si>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</si>
  <si>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</si>
  <si>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</si>
  <si>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</si>
  <si>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</si>
  <si>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</si>
  <si>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</si>
  <si>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</si>
  <si>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</si>
  <si>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</si>
  <si>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</si>
  <si>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</si>
  <si>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</si>
  <si>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</si>
  <si>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</si>
  <si>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</si>
  <si>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</si>
  <si>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</si>
  <si>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</si>
  <si>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</si>
  <si>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</si>
  <si>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</si>
  <si>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</si>
  <si>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</si>
  <si>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</si>
  <si>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</si>
  <si>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</si>
  <si>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</si>
  <si>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</si>
  <si>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</si>
  <si>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</si>
  <si>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</si>
  <si>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</si>
  <si>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</si>
  <si>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</si>
  <si>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</si>
  <si>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</si>
  <si>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</si>
  <si>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</si>
  <si>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</si>
  <si>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Valuation Summary — Football Field</t>
  </si>
  <si>
    <t>Football Field Data</t>
  </si>
  <si>
    <t>Market</t>
  </si>
  <si>
    <t xml:space="preserve">Comp </t>
  </si>
  <si>
    <t>DCF</t>
  </si>
  <si>
    <t>52-week hi/Lo</t>
  </si>
  <si>
    <t>Consenses</t>
  </si>
  <si>
    <t>High</t>
  </si>
  <si>
    <t>Low</t>
  </si>
  <si>
    <t>Valuation Summary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</si>
</sst>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\E"/>
    <numFmt numFmtId="165" formatCode="#,##0;\(#,##0\);\-"/>
    <numFmt numFmtId="166" formatCode="#\A"/>
    <numFmt numFmtId="167" formatCode="0.0%"/>
    <numFmt numFmtId="168" formatCode="#,##0.0\X"/>
    <numFmt numFmtId="169" formatCode="m/d/yyyy"/>
    <numFmt numFmtId="170" formatCode=";;;"/>
    <numFmt numFmtId="171" formatCode="0.0\x"/>
    <numFmt numFmtId="172" formatCode="#,##0.00_);\(#,##0.00\)"/>
    <numFmt numFmtId="173" formatCode="0.0000"/>
    <numFmt numFmtId="174" formatCode="#,##0_);\(#,##0\)"/>
    <numFmt numFmtId="175" formatCode="#,##0.00\X"/>
  </numFmts>
  <fonts count="65" x14ac:knownFonts="1">
    <font>
      <sz val="11"/>
      <color theme="1"/>
      <name val="Calibri"/>
      <family val="2"/>
      <charset val="1"/>
    </font>
    <font>
      <sz val="11"/>
      <color theme="1"/>
      <name val="Book Antiqua"/>
      <family val="1"/>
      <charset val="1"/>
    </font>
    <font>
      <sz val="24"/>
      <color theme="0"/>
      <name val="Book Antiqua"/>
      <family val="1"/>
      <charset val="1"/>
    </font>
    <font>
      <b/>
      <sz val="26"/>
      <color theme="0"/>
      <name val="Book Antiqua"/>
      <family val="1"/>
      <charset val="1"/>
    </font>
    <font>
      <b/>
      <sz val="11"/>
      <color theme="0"/>
      <name val="Book Antiqua"/>
      <family val="1"/>
      <charset val="1"/>
    </font>
    <font>
      <b/>
      <sz val="12"/>
      <name val="Book Antiqua"/>
      <family val="1"/>
      <charset val="1"/>
    </font>
    <font>
      <b/>
      <sz val="12"/>
      <color theme="1"/>
      <name val="Book Antiqua"/>
      <family val="1"/>
      <charset val="1"/>
    </font>
    <font>
      <b/>
      <sz val="11"/>
      <name val="Book Antiqua"/>
      <family val="1"/>
      <charset val="1"/>
    </font>
    <font>
      <b/>
      <sz val="11"/>
      <color theme="1"/>
      <name val="Book Antiqua"/>
      <family val="1"/>
      <charset val="1"/>
    </font>
    <font>
      <b/>
      <sz val="14"/>
      <color theme="0"/>
      <name val="Book Antiqua"/>
      <family val="1"/>
      <charset val="1"/>
    </font>
    <font>
      <b/>
      <sz val="16"/>
      <color theme="0"/>
      <name val="Book Antiqua"/>
      <family val="1"/>
      <charset val="1"/>
    </font>
    <font>
      <b/>
      <sz val="12"/>
      <color rgb="FF00B050"/>
      <name val="Book Antiqua"/>
      <family val="1"/>
      <charset val="1"/>
    </font>
    <font>
      <b/>
      <i/>
      <sz val="12"/>
      <color rgb="FF00B050"/>
      <name val="Book Antiqua"/>
      <family val="1"/>
      <charset val="1"/>
    </font>
    <font>
      <sz val="12"/>
      <color rgb="FF00B050"/>
      <name val="Book Antiqua"/>
      <family val="1"/>
      <charset val="1"/>
    </font>
    <font>
      <sz val="12"/>
      <name val="Book Antiqua"/>
      <family val="1"/>
      <charset val="1"/>
    </font>
    <font>
      <b/>
      <sz val="11"/>
      <color rgb="FF0000FF"/>
      <name val="Arial"/>
      <charset val="1"/>
    </font>
    <font>
      <sz val="10"/>
      <color rgb="FF0000FF"/>
      <name val="Arial"/>
      <charset val="1"/>
    </font>
    <font>
      <sz val="12"/>
      <color theme="1"/>
      <name val="Book Antiqua"/>
      <family val="1"/>
      <charset val="1"/>
    </font>
    <font>
      <sz val="14"/>
      <color theme="1"/>
      <name val="Book Antiqua"/>
      <family val="1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4"/>
      <color rgb="FF00B050"/>
      <name val="Book Antiqua"/>
      <family val="1"/>
      <charset val="1"/>
    </font>
    <font>
      <b/>
      <sz val="12"/>
      <name val="Calibri"/>
      <family val="2"/>
      <charset val="1"/>
    </font>
    <font>
      <sz val="12"/>
      <color rgb="FF002060"/>
      <name val="Book Antiqua"/>
      <family val="1"/>
      <charset val="1"/>
    </font>
    <font>
      <b/>
      <sz val="10"/>
      <color rgb="FF000000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4"/>
      <color theme="1"/>
      <name val="Book Antiqua"/>
      <family val="1"/>
      <charset val="1"/>
    </font>
    <font>
      <i/>
      <sz val="12"/>
      <color theme="1"/>
      <name val="Book Antiqua"/>
      <family val="1"/>
      <charset val="1"/>
    </font>
    <font>
      <i/>
      <sz val="14"/>
      <color theme="1"/>
      <name val="Book Antiqua"/>
      <family val="1"/>
      <charset val="1"/>
    </font>
    <font>
      <sz val="14"/>
      <color rgb="FF00B0F0"/>
      <name val="Book Antiqua"/>
      <family val="1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4"/>
      <name val="Book Antiqua"/>
      <family val="1"/>
      <charset val="1"/>
    </font>
    <font>
      <b/>
      <sz val="12"/>
      <color theme="0"/>
      <name val="Book Antiqua"/>
      <family val="1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0000FF"/>
      <name val="Arial"/>
      <charset val="1"/>
    </font>
    <font>
      <sz val="10"/>
      <color rgb="FF888888"/>
      <name val="Arial"/>
      <charset val="1"/>
    </font>
    <font>
      <i/>
      <sz val="10"/>
      <color rgb="FF444444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i/>
      <sz val="9"/>
      <color rgb="FF444444"/>
      <name val="Arial"/>
      <charset val="1"/>
    </font>
    <font>
      <sz val="9"/>
      <color rgb="FF555555"/>
      <name val="Arial"/>
      <charset val="1"/>
    </font>
    <font>
      <sz val="10"/>
      <color rgb="FFAAAAAA"/>
      <name val="Arial"/>
      <charset val="1"/>
    </font>
    <font>
      <i/>
      <sz val="9"/>
      <color rgb="FF888888"/>
      <name val="Arial"/>
      <charset val="1"/>
    </font>
    <font>
      <sz val="12"/>
      <color theme="0"/>
      <name val="Book Antiqua"/>
      <family val="1"/>
      <charset val="1"/>
    </font>
    <font>
      <sz val="11"/>
      <color theme="0"/>
      <name val="Book Antiqua"/>
      <family val="1"/>
      <charset val="1"/>
    </font>
    <font>
      <sz val="12"/>
      <color theme="0"/>
      <name val="Calibri"/>
      <family val="2"/>
      <charset val="1"/>
    </font>
    <font>
      <sz val="12"/>
      <color rgb="FF101113"/>
      <name val="Book Antiqua"/>
      <family val="1"/>
      <charset val="1"/>
    </font>
    <font>
      <b/>
      <sz val="12"/>
      <color rgb="FF101113"/>
      <name val="Book Antiqua"/>
      <family val="1"/>
      <charset val="1"/>
    </font>
    <font>
      <b/>
      <sz val="12"/>
      <color rgb="FFFFFFFF"/>
      <name val="Arial"/>
      <charset val="1"/>
    </font>
    <font>
      <b/>
      <sz val="16"/>
      <name val="Book Antiqua"/>
      <family val="1"/>
      <charset val="1"/>
    </font>
    <font>
      <sz val="12"/>
      <color rgb="FFFF0000"/>
      <name val="Calibri"/>
      <family val="2"/>
      <charset val="1"/>
    </font>
    <font>
      <b/>
      <sz val="12"/>
      <color rgb="FF002060"/>
      <name val="Book Antiqua"/>
      <family val="1"/>
      <charset val="1"/>
    </font>
    <font>
      <b/>
      <sz val="16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4" tint="-0.499984740745262"/>
        <bgColor rgb="FF1F3864"/>
      </patternFill>
    </fill>
    <fill>
      <patternFill patternType="solid">
        <fgColor theme="4" tint="-0.249977111117893"/>
        <bgColor rgb="FF2E509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203864"/>
      </patternFill>
    </fill>
    <fill>
      <patternFill patternType="solid">
        <fgColor rgb="FFF2F2F2"/>
        <bgColor rgb="FFE2EFDA"/>
      </patternFill>
    </fill>
    <fill>
      <patternFill patternType="solid">
        <fgColor rgb="FF2E5DA8"/>
        <bgColor rgb="FF2F5597"/>
      </patternFill>
    </fill>
    <fill>
      <patternFill patternType="solid">
        <fgColor rgb="FFD6DCE4"/>
        <bgColor rgb="FFD9D9D9"/>
      </patternFill>
    </fill>
    <fill>
      <patternFill patternType="solid">
        <fgColor theme="4" tint="0.59978026673177287"/>
        <bgColor rgb="FFBFBFBF"/>
      </patternFill>
    </fill>
    <fill>
      <patternFill patternType="solid">
        <fgColor theme="0" tint="-0.14999847407452621"/>
        <bgColor rgb="FFD6DCE4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203864"/>
      </patternFill>
    </fill>
    <fill>
      <patternFill patternType="solid">
        <fgColor theme="0"/>
        <bgColor rgb="FF2F5597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888888"/>
      </patternFill>
    </fill>
    <fill>
      <patternFill patternType="solid">
        <fgColor theme="0"/>
        <bgColor rgb="FFB4C7E7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46" fillId="0" borderId="5" xfId="0" applyFont="1" applyBorder="1" applyAlignment="1">
      <alignment horizontal="left" vertical="center" indent="1"/>
    </xf>
    <xf numFmtId="0" fontId="45" fillId="5" borderId="5" xfId="0" applyFont="1" applyFill="1" applyBorder="1" applyAlignment="1">
      <alignment horizontal="left" vertical="center" indent="1"/>
    </xf>
    <xf numFmtId="0" fontId="44" fillId="9" borderId="5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left" vertical="center" indent="1"/>
    </xf>
    <xf numFmtId="0" fontId="40" fillId="9" borderId="5" xfId="0" applyFont="1" applyFill="1" applyBorder="1" applyAlignment="1">
      <alignment horizontal="left" vertical="center" indent="1"/>
    </xf>
    <xf numFmtId="0" fontId="39" fillId="8" borderId="5" xfId="0" applyFont="1" applyFill="1" applyBorder="1" applyAlignment="1">
      <alignment horizontal="center" vertical="center" wrapText="1"/>
    </xf>
    <xf numFmtId="0" fontId="38" fillId="8" borderId="5" xfId="0" applyFont="1" applyFill="1" applyBorder="1" applyAlignment="1">
      <alignment horizontal="center" vertical="center" wrapText="1"/>
    </xf>
    <xf numFmtId="0" fontId="37" fillId="6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0" borderId="0" xfId="0" applyNumberFormat="1" applyFont="1"/>
    <xf numFmtId="0" fontId="1" fillId="0" borderId="1" xfId="0" applyFont="1" applyBorder="1"/>
    <xf numFmtId="4" fontId="1" fillId="0" borderId="1" xfId="0" applyNumberFormat="1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/>
    <xf numFmtId="4" fontId="1" fillId="0" borderId="3" xfId="0" applyNumberFormat="1" applyFont="1" applyBorder="1"/>
    <xf numFmtId="4" fontId="1" fillId="0" borderId="2" xfId="0" applyNumberFormat="1" applyFont="1" applyBorder="1"/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/>
    <xf numFmtId="0" fontId="5" fillId="4" borderId="0" xfId="0" applyFont="1" applyFill="1"/>
    <xf numFmtId="0" fontId="6" fillId="0" borderId="0" xfId="0" applyFont="1"/>
    <xf numFmtId="164" fontId="7" fillId="4" borderId="0" xfId="0" applyNumberFormat="1" applyFont="1" applyFill="1"/>
    <xf numFmtId="0" fontId="5" fillId="4" borderId="4" xfId="0" applyFont="1" applyFill="1" applyBorder="1"/>
    <xf numFmtId="10" fontId="1" fillId="0" borderId="4" xfId="0" applyNumberFormat="1" applyFont="1" applyBorder="1"/>
    <xf numFmtId="10" fontId="1" fillId="0" borderId="0" xfId="0" applyNumberFormat="1" applyFont="1"/>
    <xf numFmtId="165" fontId="5" fillId="0" borderId="4" xfId="0" applyNumberFormat="1" applyFont="1" applyBorder="1"/>
    <xf numFmtId="9" fontId="1" fillId="0" borderId="4" xfId="0" applyNumberFormat="1" applyFont="1" applyBorder="1"/>
    <xf numFmtId="0" fontId="8" fillId="0" borderId="0" xfId="0" applyFont="1"/>
    <xf numFmtId="0" fontId="8" fillId="0" borderId="1" xfId="0" applyFont="1" applyBorder="1"/>
    <xf numFmtId="4" fontId="8" fillId="0" borderId="1" xfId="0" applyNumberFormat="1" applyFont="1" applyBorder="1"/>
    <xf numFmtId="0" fontId="8" fillId="0" borderId="2" xfId="0" applyFont="1" applyBorder="1"/>
    <xf numFmtId="0" fontId="8" fillId="0" borderId="3" xfId="0" applyFont="1" applyBorder="1"/>
    <xf numFmtId="0" fontId="9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3" borderId="0" xfId="0" applyFont="1" applyFill="1"/>
    <xf numFmtId="166" fontId="4" fillId="3" borderId="0" xfId="0" applyNumberFormat="1" applyFont="1" applyFill="1"/>
    <xf numFmtId="164" fontId="4" fillId="2" borderId="0" xfId="0" applyNumberFormat="1" applyFont="1" applyFill="1"/>
    <xf numFmtId="0" fontId="10" fillId="4" borderId="0" xfId="0" applyFont="1" applyFill="1"/>
    <xf numFmtId="0" fontId="4" fillId="4" borderId="0" xfId="0" applyFont="1" applyFill="1"/>
    <xf numFmtId="0" fontId="11" fillId="4" borderId="0" xfId="0" applyFont="1" applyFill="1"/>
    <xf numFmtId="166" fontId="12" fillId="4" borderId="0" xfId="0" applyNumberFormat="1" applyFont="1" applyFill="1"/>
    <xf numFmtId="166" fontId="11" fillId="4" borderId="0" xfId="0" applyNumberFormat="1" applyFont="1" applyFill="1"/>
    <xf numFmtId="164" fontId="4" fillId="4" borderId="0" xfId="0" applyNumberFormat="1" applyFont="1" applyFill="1"/>
    <xf numFmtId="0" fontId="10" fillId="2" borderId="0" xfId="0" applyFont="1" applyFill="1"/>
    <xf numFmtId="165" fontId="13" fillId="0" borderId="0" xfId="0" applyNumberFormat="1" applyFont="1"/>
    <xf numFmtId="165" fontId="14" fillId="0" borderId="0" xfId="0" applyNumberFormat="1" applyFont="1"/>
    <xf numFmtId="165" fontId="15" fillId="5" borderId="4" xfId="0" applyNumberFormat="1" applyFont="1" applyFill="1" applyBorder="1" applyAlignment="1">
      <alignment horizontal="center" vertical="center"/>
    </xf>
    <xf numFmtId="0" fontId="6" fillId="4" borderId="0" xfId="0" applyFont="1" applyFill="1"/>
    <xf numFmtId="10" fontId="14" fillId="0" borderId="0" xfId="0" applyNumberFormat="1" applyFont="1"/>
    <xf numFmtId="167" fontId="16" fillId="0" borderId="5" xfId="0" applyNumberFormat="1" applyFont="1" applyBorder="1" applyAlignment="1">
      <alignment horizontal="center" vertical="center"/>
    </xf>
    <xf numFmtId="168" fontId="14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6" fillId="0" borderId="3" xfId="0" applyFont="1" applyBorder="1"/>
    <xf numFmtId="0" fontId="20" fillId="0" borderId="3" xfId="0" applyFont="1" applyBorder="1"/>
    <xf numFmtId="165" fontId="6" fillId="0" borderId="3" xfId="0" applyNumberFormat="1" applyFont="1" applyBorder="1"/>
    <xf numFmtId="165" fontId="18" fillId="0" borderId="0" xfId="0" applyNumberFormat="1" applyFont="1"/>
    <xf numFmtId="165" fontId="21" fillId="0" borderId="0" xfId="0" applyNumberFormat="1" applyFont="1"/>
    <xf numFmtId="0" fontId="6" fillId="0" borderId="1" xfId="0" applyFont="1" applyBorder="1"/>
    <xf numFmtId="0" fontId="20" fillId="0" borderId="1" xfId="0" applyFont="1" applyBorder="1"/>
    <xf numFmtId="165" fontId="6" fillId="0" borderId="1" xfId="0" applyNumberFormat="1" applyFont="1" applyBorder="1"/>
    <xf numFmtId="165" fontId="17" fillId="0" borderId="0" xfId="0" applyNumberFormat="1" applyFont="1"/>
    <xf numFmtId="0" fontId="6" fillId="4" borderId="3" xfId="0" applyFont="1" applyFill="1" applyBorder="1"/>
    <xf numFmtId="0" fontId="20" fillId="4" borderId="3" xfId="0" applyFont="1" applyFill="1" applyBorder="1"/>
    <xf numFmtId="165" fontId="6" fillId="4" borderId="3" xfId="0" applyNumberFormat="1" applyFont="1" applyFill="1" applyBorder="1"/>
    <xf numFmtId="0" fontId="5" fillId="0" borderId="3" xfId="0" applyFont="1" applyBorder="1"/>
    <xf numFmtId="0" fontId="22" fillId="0" borderId="3" xfId="0" applyFont="1" applyBorder="1"/>
    <xf numFmtId="165" fontId="5" fillId="0" borderId="3" xfId="0" applyNumberFormat="1" applyFont="1" applyBorder="1"/>
    <xf numFmtId="165" fontId="13" fillId="0" borderId="3" xfId="0" applyNumberFormat="1" applyFont="1" applyBorder="1"/>
    <xf numFmtId="165" fontId="5" fillId="0" borderId="6" xfId="0" applyNumberFormat="1" applyFont="1" applyBorder="1"/>
    <xf numFmtId="0" fontId="17" fillId="0" borderId="3" xfId="0" applyFont="1" applyBorder="1"/>
    <xf numFmtId="165" fontId="6" fillId="0" borderId="0" xfId="0" applyNumberFormat="1" applyFont="1"/>
    <xf numFmtId="0" fontId="17" fillId="4" borderId="0" xfId="0" applyFont="1" applyFill="1"/>
    <xf numFmtId="165" fontId="17" fillId="4" borderId="0" xfId="0" applyNumberFormat="1" applyFont="1" applyFill="1"/>
    <xf numFmtId="167" fontId="6" fillId="4" borderId="0" xfId="0" applyNumberFormat="1" applyFont="1" applyFill="1"/>
    <xf numFmtId="165" fontId="36" fillId="2" borderId="0" xfId="0" applyNumberFormat="1" applyFont="1" applyFill="1" applyAlignment="1">
      <alignment horizontal="center"/>
    </xf>
    <xf numFmtId="0" fontId="39" fillId="8" borderId="5" xfId="0" applyFont="1" applyFill="1" applyBorder="1" applyAlignment="1">
      <alignment horizontal="center" vertical="center" wrapText="1"/>
    </xf>
    <xf numFmtId="0" fontId="41" fillId="5" borderId="5" xfId="0" applyFont="1" applyFill="1" applyBorder="1" applyAlignment="1">
      <alignment horizontal="center" vertical="center"/>
    </xf>
    <xf numFmtId="1" fontId="42" fillId="0" borderId="5" xfId="0" applyNumberFormat="1" applyFont="1" applyBorder="1" applyAlignment="1">
      <alignment horizontal="center" vertical="center"/>
    </xf>
    <xf numFmtId="0" fontId="44" fillId="9" borderId="5" xfId="0" applyFont="1" applyFill="1" applyBorder="1" applyAlignment="1">
      <alignment horizontal="center" vertical="center" wrapText="1"/>
    </xf>
    <xf numFmtId="10" fontId="40" fillId="5" borderId="5" xfId="0" applyNumberFormat="1" applyFont="1" applyFill="1" applyBorder="1" applyAlignment="1">
      <alignment horizontal="center" vertical="center"/>
    </xf>
    <xf numFmtId="167" fontId="16" fillId="5" borderId="5" xfId="0" applyNumberFormat="1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left" vertical="center" indent="1"/>
    </xf>
    <xf numFmtId="167" fontId="16" fillId="4" borderId="5" xfId="0" applyNumberFormat="1" applyFont="1" applyFill="1" applyBorder="1" applyAlignment="1">
      <alignment horizontal="center" vertical="center"/>
    </xf>
    <xf numFmtId="171" fontId="16" fillId="5" borderId="5" xfId="0" applyNumberFormat="1" applyFont="1" applyFill="1" applyBorder="1" applyAlignment="1">
      <alignment horizontal="center" vertical="center"/>
    </xf>
    <xf numFmtId="4" fontId="16" fillId="7" borderId="5" xfId="0" applyNumberFormat="1" applyFont="1" applyFill="1" applyBorder="1" applyAlignment="1">
      <alignment horizontal="center" vertical="center"/>
    </xf>
    <xf numFmtId="3" fontId="16" fillId="4" borderId="5" xfId="0" applyNumberFormat="1" applyFont="1" applyFill="1" applyBorder="1" applyAlignment="1">
      <alignment horizontal="center" vertical="center"/>
    </xf>
    <xf numFmtId="3" fontId="16" fillId="7" borderId="5" xfId="0" applyNumberFormat="1" applyFont="1" applyFill="1" applyBorder="1" applyAlignment="1">
      <alignment horizontal="center" vertical="center"/>
    </xf>
    <xf numFmtId="0" fontId="39" fillId="6" borderId="5" xfId="0" applyFont="1" applyFill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172" fontId="40" fillId="5" borderId="5" xfId="0" applyNumberFormat="1" applyFont="1" applyFill="1" applyBorder="1" applyAlignment="1">
      <alignment horizontal="center" vertical="center"/>
    </xf>
    <xf numFmtId="167" fontId="45" fillId="4" borderId="5" xfId="0" applyNumberFormat="1" applyFont="1" applyFill="1" applyBorder="1" applyAlignment="1">
      <alignment horizontal="center" vertical="center"/>
    </xf>
    <xf numFmtId="172" fontId="45" fillId="7" borderId="5" xfId="0" applyNumberFormat="1" applyFont="1" applyFill="1" applyBorder="1" applyAlignment="1">
      <alignment horizontal="center" vertical="center"/>
    </xf>
    <xf numFmtId="172" fontId="45" fillId="4" borderId="5" xfId="0" applyNumberFormat="1" applyFont="1" applyFill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72" fontId="40" fillId="7" borderId="5" xfId="0" applyNumberFormat="1" applyFont="1" applyFill="1" applyBorder="1" applyAlignment="1">
      <alignment horizontal="center" vertical="center"/>
    </xf>
    <xf numFmtId="4" fontId="45" fillId="7" borderId="5" xfId="0" applyNumberFormat="1" applyFont="1" applyFill="1" applyBorder="1" applyAlignment="1">
      <alignment horizontal="center" vertical="center"/>
    </xf>
    <xf numFmtId="173" fontId="45" fillId="4" borderId="5" xfId="0" applyNumberFormat="1" applyFont="1" applyFill="1" applyBorder="1" applyAlignment="1">
      <alignment horizontal="center" vertical="center"/>
    </xf>
    <xf numFmtId="0" fontId="0" fillId="5" borderId="5" xfId="0" applyFill="1" applyBorder="1"/>
    <xf numFmtId="172" fontId="40" fillId="4" borderId="5" xfId="0" applyNumberFormat="1" applyFont="1" applyFill="1" applyBorder="1" applyAlignment="1">
      <alignment horizontal="center" vertical="center"/>
    </xf>
    <xf numFmtId="4" fontId="40" fillId="5" borderId="5" xfId="0" applyNumberFormat="1" applyFont="1" applyFill="1" applyBorder="1" applyAlignment="1">
      <alignment horizontal="center" vertical="center"/>
    </xf>
    <xf numFmtId="167" fontId="40" fillId="4" borderId="5" xfId="0" applyNumberFormat="1" applyFont="1" applyFill="1" applyBorder="1" applyAlignment="1">
      <alignment horizontal="center" vertical="center"/>
    </xf>
    <xf numFmtId="4" fontId="45" fillId="4" borderId="5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166" fontId="4" fillId="2" borderId="0" xfId="0" applyNumberFormat="1" applyFont="1" applyFill="1"/>
    <xf numFmtId="0" fontId="36" fillId="3" borderId="0" xfId="0" applyFont="1" applyFill="1" applyAlignment="1">
      <alignment horizontal="center"/>
    </xf>
    <xf numFmtId="166" fontId="36" fillId="3" borderId="0" xfId="0" applyNumberFormat="1" applyFont="1" applyFill="1" applyAlignment="1">
      <alignment horizontal="center"/>
    </xf>
    <xf numFmtId="164" fontId="36" fillId="3" borderId="0" xfId="0" applyNumberFormat="1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51" fillId="3" borderId="0" xfId="0" applyFont="1" applyFill="1" applyAlignment="1">
      <alignment horizontal="center"/>
    </xf>
    <xf numFmtId="0" fontId="52" fillId="3" borderId="0" xfId="0" applyFont="1" applyFill="1" applyAlignment="1">
      <alignment horizontal="center"/>
    </xf>
    <xf numFmtId="0" fontId="36" fillId="4" borderId="0" xfId="0" applyFont="1" applyFill="1" applyAlignment="1">
      <alignment horizontal="center"/>
    </xf>
    <xf numFmtId="0" fontId="50" fillId="4" borderId="0" xfId="0" applyFont="1" applyFill="1" applyAlignment="1">
      <alignment horizontal="center"/>
    </xf>
    <xf numFmtId="0" fontId="52" fillId="4" borderId="0" xfId="0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1" fillId="4" borderId="0" xfId="0" applyFont="1" applyFill="1"/>
    <xf numFmtId="165" fontId="13" fillId="4" borderId="0" xfId="0" applyNumberFormat="1" applyFont="1" applyFill="1"/>
    <xf numFmtId="0" fontId="53" fillId="4" borderId="0" xfId="0" applyFont="1" applyFill="1" applyAlignment="1">
      <alignment horizontal="left" vertical="center" wrapText="1"/>
    </xf>
    <xf numFmtId="0" fontId="53" fillId="4" borderId="0" xfId="0" applyFont="1" applyFill="1" applyAlignment="1">
      <alignment horizontal="center" vertical="center" wrapText="1"/>
    </xf>
    <xf numFmtId="165" fontId="5" fillId="0" borderId="0" xfId="0" applyNumberFormat="1" applyFont="1"/>
    <xf numFmtId="165" fontId="5" fillId="10" borderId="0" xfId="0" applyNumberFormat="1" applyFont="1" applyFill="1"/>
    <xf numFmtId="168" fontId="14" fillId="10" borderId="0" xfId="0" applyNumberFormat="1" applyFont="1" applyFill="1"/>
    <xf numFmtId="168" fontId="5" fillId="10" borderId="0" xfId="0" applyNumberFormat="1" applyFont="1" applyFill="1"/>
    <xf numFmtId="168" fontId="5" fillId="0" borderId="0" xfId="0" applyNumberFormat="1" applyFont="1"/>
    <xf numFmtId="164" fontId="5" fillId="4" borderId="0" xfId="0" applyNumberFormat="1" applyFont="1" applyFill="1"/>
    <xf numFmtId="0" fontId="54" fillId="4" borderId="0" xfId="0" applyFont="1" applyFill="1" applyAlignment="1">
      <alignment horizontal="left" vertical="center" wrapText="1"/>
    </xf>
    <xf numFmtId="0" fontId="54" fillId="4" borderId="0" xfId="0" applyFont="1" applyFill="1" applyAlignment="1">
      <alignment horizontal="center" vertical="center" wrapText="1"/>
    </xf>
    <xf numFmtId="3" fontId="16" fillId="0" borderId="5" xfId="0" applyNumberFormat="1" applyFont="1" applyBorder="1" applyAlignment="1">
      <alignment horizontal="center" vertical="center"/>
    </xf>
    <xf numFmtId="3" fontId="45" fillId="0" borderId="5" xfId="0" applyNumberFormat="1" applyFont="1" applyBorder="1" applyAlignment="1">
      <alignment horizontal="center" vertical="center"/>
    </xf>
    <xf numFmtId="0" fontId="14" fillId="0" borderId="0" xfId="0" applyFont="1"/>
    <xf numFmtId="0" fontId="36" fillId="2" borderId="0" xfId="0" applyFont="1" applyFill="1"/>
    <xf numFmtId="0" fontId="36" fillId="2" borderId="0" xfId="0" applyFont="1" applyFill="1" applyAlignment="1">
      <alignment horizontal="center"/>
    </xf>
    <xf numFmtId="0" fontId="9" fillId="2" borderId="0" xfId="0" applyFont="1" applyFill="1"/>
    <xf numFmtId="0" fontId="36" fillId="2" borderId="0" xfId="0" applyFont="1" applyFill="1" applyAlignment="1">
      <alignment horizontal="center" wrapText="1"/>
    </xf>
    <xf numFmtId="0" fontId="18" fillId="4" borderId="0" xfId="0" applyFont="1" applyFill="1"/>
    <xf numFmtId="0" fontId="50" fillId="2" borderId="0" xfId="0" applyFont="1" applyFill="1"/>
    <xf numFmtId="168" fontId="36" fillId="2" borderId="0" xfId="0" applyNumberFormat="1" applyFont="1" applyFill="1" applyAlignment="1">
      <alignment horizontal="center"/>
    </xf>
    <xf numFmtId="0" fontId="26" fillId="2" borderId="0" xfId="0" applyFont="1" applyFill="1"/>
    <xf numFmtId="165" fontId="14" fillId="4" borderId="0" xfId="0" applyNumberFormat="1" applyFont="1" applyFill="1"/>
    <xf numFmtId="168" fontId="14" fillId="4" borderId="0" xfId="0" applyNumberFormat="1" applyFont="1" applyFill="1"/>
    <xf numFmtId="174" fontId="45" fillId="0" borderId="5" xfId="0" applyNumberFormat="1" applyFont="1" applyBorder="1" applyAlignment="1">
      <alignment horizontal="center" vertical="center"/>
    </xf>
    <xf numFmtId="165" fontId="6" fillId="4" borderId="0" xfId="0" applyNumberFormat="1" applyFont="1" applyFill="1"/>
    <xf numFmtId="165" fontId="18" fillId="4" borderId="0" xfId="0" applyNumberFormat="1" applyFont="1" applyFill="1"/>
    <xf numFmtId="0" fontId="17" fillId="4" borderId="3" xfId="0" applyFont="1" applyFill="1" applyBorder="1"/>
    <xf numFmtId="165" fontId="14" fillId="4" borderId="3" xfId="0" applyNumberFormat="1" applyFont="1" applyFill="1" applyBorder="1"/>
    <xf numFmtId="165" fontId="14" fillId="0" borderId="3" xfId="0" applyNumberFormat="1" applyFont="1" applyBorder="1"/>
    <xf numFmtId="4" fontId="40" fillId="0" borderId="5" xfId="0" applyNumberFormat="1" applyFont="1" applyBorder="1" applyAlignment="1">
      <alignment horizontal="center" vertical="center"/>
    </xf>
    <xf numFmtId="0" fontId="20" fillId="4" borderId="0" xfId="0" applyFont="1" applyFill="1"/>
    <xf numFmtId="0" fontId="19" fillId="4" borderId="0" xfId="0" applyFont="1" applyFill="1"/>
    <xf numFmtId="165" fontId="21" fillId="4" borderId="0" xfId="0" applyNumberFormat="1" applyFont="1" applyFill="1"/>
    <xf numFmtId="0" fontId="22" fillId="4" borderId="0" xfId="0" applyFont="1" applyFill="1"/>
    <xf numFmtId="165" fontId="5" fillId="4" borderId="0" xfId="0" applyNumberFormat="1" applyFont="1" applyFill="1"/>
    <xf numFmtId="0" fontId="9" fillId="4" borderId="0" xfId="0" applyFont="1" applyFill="1" applyAlignment="1">
      <alignment horizontal="center"/>
    </xf>
    <xf numFmtId="0" fontId="55" fillId="2" borderId="0" xfId="0" applyFont="1" applyFill="1"/>
    <xf numFmtId="166" fontId="36" fillId="4" borderId="0" xfId="0" applyNumberFormat="1" applyFont="1" applyFill="1" applyAlignment="1">
      <alignment horizontal="center"/>
    </xf>
    <xf numFmtId="164" fontId="36" fillId="4" borderId="0" xfId="0" applyNumberFormat="1" applyFont="1" applyFill="1" applyAlignment="1">
      <alignment horizontal="center"/>
    </xf>
    <xf numFmtId="166" fontId="4" fillId="4" borderId="0" xfId="0" applyNumberFormat="1" applyFont="1" applyFill="1"/>
    <xf numFmtId="0" fontId="36" fillId="3" borderId="0" xfId="0" applyFont="1" applyFill="1"/>
    <xf numFmtId="0" fontId="5" fillId="3" borderId="0" xfId="0" applyFont="1" applyFill="1"/>
    <xf numFmtId="0" fontId="36" fillId="4" borderId="0" xfId="0" applyFont="1" applyFill="1"/>
    <xf numFmtId="165" fontId="1" fillId="0" borderId="0" xfId="0" applyNumberFormat="1" applyFont="1"/>
    <xf numFmtId="2" fontId="14" fillId="0" borderId="0" xfId="0" applyNumberFormat="1" applyFont="1"/>
    <xf numFmtId="10" fontId="5" fillId="10" borderId="0" xfId="0" applyNumberFormat="1" applyFont="1" applyFill="1"/>
    <xf numFmtId="2" fontId="5" fillId="10" borderId="0" xfId="0" applyNumberFormat="1" applyFont="1" applyFill="1"/>
    <xf numFmtId="168" fontId="5" fillId="4" borderId="0" xfId="0" applyNumberFormat="1" applyFont="1" applyFill="1"/>
    <xf numFmtId="0" fontId="5" fillId="10" borderId="0" xfId="0" applyFont="1" applyFill="1"/>
    <xf numFmtId="175" fontId="14" fillId="4" borderId="0" xfId="0" applyNumberFormat="1" applyFont="1" applyFill="1"/>
    <xf numFmtId="0" fontId="56" fillId="4" borderId="0" xfId="0" applyFont="1" applyFill="1"/>
    <xf numFmtId="0" fontId="50" fillId="2" borderId="0" xfId="0" applyFont="1" applyFill="1" applyAlignment="1">
      <alignment horizontal="center"/>
    </xf>
    <xf numFmtId="0" fontId="17" fillId="2" borderId="0" xfId="0" applyFont="1" applyFill="1"/>
    <xf numFmtId="0" fontId="18" fillId="2" borderId="0" xfId="0" applyFont="1" applyFill="1"/>
    <xf numFmtId="168" fontId="17" fillId="0" borderId="0" xfId="0" applyNumberFormat="1" applyFont="1"/>
    <xf numFmtId="0" fontId="6" fillId="11" borderId="0" xfId="0" applyFont="1" applyFill="1"/>
    <xf numFmtId="168" fontId="17" fillId="11" borderId="0" xfId="0" applyNumberFormat="1" applyFont="1" applyFill="1"/>
    <xf numFmtId="10" fontId="17" fillId="0" borderId="3" xfId="0" applyNumberFormat="1" applyFont="1" applyBorder="1"/>
    <xf numFmtId="10" fontId="17" fillId="0" borderId="0" xfId="0" applyNumberFormat="1" applyFont="1"/>
    <xf numFmtId="0" fontId="17" fillId="11" borderId="0" xfId="0" applyFont="1" applyFill="1"/>
    <xf numFmtId="10" fontId="6" fillId="4" borderId="0" xfId="0" applyNumberFormat="1" applyFont="1" applyFill="1"/>
    <xf numFmtId="10" fontId="17" fillId="4" borderId="0" xfId="0" applyNumberFormat="1" applyFont="1" applyFill="1"/>
    <xf numFmtId="167" fontId="6" fillId="4" borderId="3" xfId="0" applyNumberFormat="1" applyFont="1" applyFill="1" applyBorder="1"/>
    <xf numFmtId="10" fontId="58" fillId="4" borderId="0" xfId="0" applyNumberFormat="1" applyFont="1" applyFill="1"/>
    <xf numFmtId="2" fontId="17" fillId="4" borderId="0" xfId="0" applyNumberFormat="1" applyFont="1" applyFill="1"/>
    <xf numFmtId="167" fontId="17" fillId="4" borderId="3" xfId="0" applyNumberFormat="1" applyFont="1" applyFill="1" applyBorder="1"/>
    <xf numFmtId="0" fontId="6" fillId="4" borderId="2" xfId="0" applyFont="1" applyFill="1" applyBorder="1"/>
    <xf numFmtId="167" fontId="17" fillId="4" borderId="2" xfId="0" applyNumberFormat="1" applyFont="1" applyFill="1" applyBorder="1"/>
    <xf numFmtId="0" fontId="60" fillId="6" borderId="8" xfId="0" applyFont="1" applyFill="1" applyBorder="1" applyAlignment="1">
      <alignment horizontal="center" vertical="center" wrapText="1"/>
    </xf>
    <xf numFmtId="0" fontId="61" fillId="4" borderId="0" xfId="0" applyFont="1" applyFill="1" applyAlignment="1">
      <alignment horizontal="center" vertical="center"/>
    </xf>
    <xf numFmtId="4" fontId="62" fillId="4" borderId="0" xfId="0" applyNumberFormat="1" applyFont="1" applyFill="1" applyAlignment="1">
      <alignment horizontal="center" vertical="center"/>
    </xf>
    <xf numFmtId="167" fontId="61" fillId="4" borderId="0" xfId="0" applyNumberFormat="1" applyFont="1" applyFill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4" fontId="24" fillId="0" borderId="5" xfId="0" applyNumberFormat="1" applyFont="1" applyBorder="1" applyAlignment="1">
      <alignment horizontal="center" vertical="center"/>
    </xf>
    <xf numFmtId="0" fontId="63" fillId="6" borderId="5" xfId="0" applyFont="1" applyFill="1" applyBorder="1" applyAlignment="1">
      <alignment horizontal="center" vertical="center"/>
    </xf>
    <xf numFmtId="2" fontId="64" fillId="5" borderId="5" xfId="0" applyNumberFormat="1" applyFont="1" applyFill="1" applyBorder="1" applyAlignment="1">
      <alignment horizontal="center" vertical="center"/>
    </xf>
    <xf numFmtId="0" fontId="7" fillId="4" borderId="0" xfId="0" applyFont="1" applyFill="1"/>
    <xf numFmtId="166" fontId="5" fillId="4" borderId="0" xfId="0" applyNumberFormat="1" applyFont="1" applyFill="1"/>
    <xf numFmtId="170" fontId="14" fillId="4" borderId="0" xfId="0" applyNumberFormat="1" applyFont="1" applyFill="1"/>
    <xf numFmtId="10" fontId="14" fillId="4" borderId="0" xfId="0" applyNumberFormat="1" applyFont="1" applyFill="1"/>
    <xf numFmtId="0" fontId="14" fillId="4" borderId="0" xfId="0" applyFont="1" applyFill="1"/>
    <xf numFmtId="2" fontId="14" fillId="4" borderId="0" xfId="0" applyNumberFormat="1" applyFont="1" applyFill="1"/>
    <xf numFmtId="167" fontId="14" fillId="4" borderId="0" xfId="0" applyNumberFormat="1" applyFont="1" applyFill="1"/>
    <xf numFmtId="10" fontId="5" fillId="4" borderId="0" xfId="0" applyNumberFormat="1" applyFont="1" applyFill="1"/>
    <xf numFmtId="2" fontId="5" fillId="4" borderId="0" xfId="0" applyNumberFormat="1" applyFont="1" applyFill="1"/>
    <xf numFmtId="0" fontId="50" fillId="4" borderId="0" xfId="0" applyFont="1" applyFill="1"/>
    <xf numFmtId="168" fontId="17" fillId="4" borderId="0" xfId="0" applyNumberFormat="1" applyFont="1" applyFill="1"/>
    <xf numFmtId="167" fontId="17" fillId="4" borderId="0" xfId="0" applyNumberFormat="1" applyFont="1" applyFill="1"/>
    <xf numFmtId="0" fontId="45" fillId="4" borderId="5" xfId="0" applyFont="1" applyFill="1" applyBorder="1" applyAlignment="1">
      <alignment horizontal="left" vertical="center" indent="1"/>
    </xf>
    <xf numFmtId="0" fontId="45" fillId="7" borderId="5" xfId="0" applyFont="1" applyFill="1" applyBorder="1" applyAlignment="1">
      <alignment horizontal="left" vertical="center" indent="1"/>
    </xf>
    <xf numFmtId="0" fontId="40" fillId="5" borderId="5" xfId="0" applyFont="1" applyFill="1" applyBorder="1" applyAlignment="1">
      <alignment horizontal="left" vertical="center" indent="1"/>
    </xf>
    <xf numFmtId="0" fontId="46" fillId="0" borderId="7" xfId="0" applyFont="1" applyBorder="1" applyAlignment="1">
      <alignment horizontal="left" vertical="center" indent="1"/>
    </xf>
    <xf numFmtId="0" fontId="40" fillId="4" borderId="5" xfId="0" applyFont="1" applyFill="1" applyBorder="1" applyAlignment="1">
      <alignment horizontal="left" vertical="center" indent="1"/>
    </xf>
    <xf numFmtId="0" fontId="49" fillId="0" borderId="0" xfId="0" applyFont="1"/>
    <xf numFmtId="0" fontId="36" fillId="3" borderId="0" xfId="0" applyFont="1" applyFill="1" applyAlignment="1">
      <alignment horizontal="center"/>
    </xf>
    <xf numFmtId="166" fontId="36" fillId="3" borderId="0" xfId="0" applyNumberFormat="1" applyFont="1" applyFill="1" applyAlignment="1">
      <alignment horizontal="center"/>
    </xf>
    <xf numFmtId="164" fontId="36" fillId="3" borderId="0" xfId="0" applyNumberFormat="1" applyFont="1" applyFill="1" applyAlignment="1">
      <alignment horizontal="center"/>
    </xf>
    <xf numFmtId="0" fontId="57" fillId="4" borderId="0" xfId="0" applyFont="1" applyFill="1" applyAlignment="1">
      <alignment horizontal="center"/>
    </xf>
    <xf numFmtId="0" fontId="59" fillId="6" borderId="5" xfId="0" applyFont="1" applyFill="1" applyBorder="1" applyAlignment="1">
      <alignment horizontal="center" vertical="center"/>
    </xf>
    <xf numFmtId="0" fontId="30" fillId="8" borderId="5" xfId="0" applyFont="1" applyFill="1" applyBorder="1" applyAlignment="1">
      <alignment horizontal="center" vertical="center"/>
    </xf>
    <xf numFmtId="168" fontId="13" fillId="4" borderId="0" xfId="0" applyNumberFormat="1" applyFont="1" applyFill="1" applyBorder="1"/>
    <xf numFmtId="0" fontId="17" fillId="4" borderId="0" xfId="0" applyFont="1" applyFill="1" applyBorder="1"/>
    <xf numFmtId="165" fontId="17" fillId="4" borderId="0" xfId="0" applyNumberFormat="1" applyFont="1" applyFill="1" applyBorder="1"/>
    <xf numFmtId="170" fontId="17" fillId="4" borderId="0" xfId="0" applyNumberFormat="1" applyFont="1" applyFill="1" applyBorder="1"/>
    <xf numFmtId="171" fontId="6" fillId="4" borderId="0" xfId="0" applyNumberFormat="1" applyFont="1" applyFill="1" applyBorder="1"/>
    <xf numFmtId="165" fontId="6" fillId="4" borderId="0" xfId="0" applyNumberFormat="1" applyFont="1" applyFill="1" applyBorder="1" applyAlignment="1">
      <alignment horizontal="left" textRotation="180"/>
    </xf>
    <xf numFmtId="167" fontId="6" fillId="4" borderId="0" xfId="0" applyNumberFormat="1" applyFont="1" applyFill="1" applyBorder="1"/>
    <xf numFmtId="0" fontId="10" fillId="12" borderId="0" xfId="0" applyFont="1" applyFill="1" applyBorder="1"/>
    <xf numFmtId="0" fontId="18" fillId="13" borderId="0" xfId="0" applyFont="1" applyFill="1" applyBorder="1"/>
    <xf numFmtId="0" fontId="17" fillId="13" borderId="0" xfId="0" applyFont="1" applyFill="1" applyBorder="1"/>
    <xf numFmtId="165" fontId="13" fillId="13" borderId="0" xfId="0" applyNumberFormat="1" applyFont="1" applyFill="1" applyBorder="1"/>
    <xf numFmtId="0" fontId="6" fillId="13" borderId="0" xfId="0" applyFont="1" applyFill="1" applyBorder="1"/>
    <xf numFmtId="165" fontId="17" fillId="13" borderId="0" xfId="0" applyNumberFormat="1" applyFont="1" applyFill="1" applyBorder="1"/>
    <xf numFmtId="169" fontId="23" fillId="13" borderId="0" xfId="0" applyNumberFormat="1" applyFont="1" applyFill="1" applyBorder="1"/>
    <xf numFmtId="10" fontId="16" fillId="13" borderId="0" xfId="0" applyNumberFormat="1" applyFont="1" applyFill="1" applyBorder="1"/>
    <xf numFmtId="9" fontId="23" fillId="13" borderId="0" xfId="0" applyNumberFormat="1" applyFont="1" applyFill="1" applyBorder="1"/>
    <xf numFmtId="2" fontId="16" fillId="13" borderId="0" xfId="0" applyNumberFormat="1" applyFont="1" applyFill="1" applyBorder="1"/>
    <xf numFmtId="165" fontId="16" fillId="13" borderId="0" xfId="0" applyNumberFormat="1" applyFont="1" applyFill="1" applyBorder="1"/>
    <xf numFmtId="0" fontId="24" fillId="13" borderId="0" xfId="0" applyFont="1" applyFill="1" applyBorder="1"/>
    <xf numFmtId="0" fontId="25" fillId="14" borderId="0" xfId="0" applyFont="1" applyFill="1" applyBorder="1" applyAlignment="1">
      <alignment horizontal="center" vertical="center" wrapText="1"/>
    </xf>
    <xf numFmtId="165" fontId="6" fillId="13" borderId="0" xfId="0" applyNumberFormat="1" applyFont="1" applyFill="1" applyBorder="1"/>
    <xf numFmtId="0" fontId="26" fillId="13" borderId="0" xfId="0" applyFont="1" applyFill="1" applyBorder="1"/>
    <xf numFmtId="169" fontId="27" fillId="13" borderId="0" xfId="0" applyNumberFormat="1" applyFont="1" applyFill="1" applyBorder="1"/>
    <xf numFmtId="0" fontId="27" fillId="13" borderId="0" xfId="0" applyFont="1" applyFill="1" applyBorder="1"/>
    <xf numFmtId="165" fontId="27" fillId="13" borderId="0" xfId="0" applyNumberFormat="1" applyFont="1" applyFill="1" applyBorder="1"/>
    <xf numFmtId="0" fontId="28" fillId="13" borderId="0" xfId="0" applyFont="1" applyFill="1" applyBorder="1"/>
    <xf numFmtId="2" fontId="17" fillId="13" borderId="0" xfId="0" applyNumberFormat="1" applyFont="1" applyFill="1" applyBorder="1"/>
    <xf numFmtId="2" fontId="29" fillId="13" borderId="0" xfId="0" applyNumberFormat="1" applyFont="1" applyFill="1" applyBorder="1"/>
    <xf numFmtId="165" fontId="18" fillId="13" borderId="0" xfId="0" applyNumberFormat="1" applyFont="1" applyFill="1" applyBorder="1"/>
    <xf numFmtId="0" fontId="30" fillId="15" borderId="0" xfId="0" applyFont="1" applyFill="1" applyBorder="1" applyAlignment="1">
      <alignment horizontal="left" vertical="center" indent="1"/>
    </xf>
    <xf numFmtId="0" fontId="0" fillId="15" borderId="0" xfId="0" applyFill="1" applyBorder="1"/>
    <xf numFmtId="0" fontId="31" fillId="16" borderId="0" xfId="0" applyFont="1" applyFill="1" applyBorder="1" applyAlignment="1">
      <alignment horizontal="center" vertical="center" wrapText="1"/>
    </xf>
    <xf numFmtId="0" fontId="0" fillId="16" borderId="0" xfId="0" applyFill="1" applyBorder="1"/>
    <xf numFmtId="0" fontId="32" fillId="4" borderId="0" xfId="0" applyFont="1" applyFill="1" applyBorder="1" applyAlignment="1">
      <alignment horizontal="left" vertical="center" indent="2"/>
    </xf>
    <xf numFmtId="0" fontId="0" fillId="4" borderId="0" xfId="0" applyFill="1" applyBorder="1"/>
    <xf numFmtId="0" fontId="33" fillId="4" borderId="0" xfId="0" applyFont="1" applyFill="1" applyBorder="1" applyAlignment="1">
      <alignment horizontal="center" vertical="center" wrapText="1"/>
    </xf>
    <xf numFmtId="3" fontId="33" fillId="4" borderId="0" xfId="0" applyNumberFormat="1" applyFont="1" applyFill="1" applyBorder="1" applyAlignment="1">
      <alignment horizontal="center" vertical="center" wrapText="1"/>
    </xf>
    <xf numFmtId="0" fontId="32" fillId="17" borderId="0" xfId="0" applyFont="1" applyFill="1" applyBorder="1" applyAlignment="1">
      <alignment horizontal="left" vertical="center" indent="2"/>
    </xf>
    <xf numFmtId="0" fontId="0" fillId="17" borderId="0" xfId="0" applyFill="1" applyBorder="1"/>
    <xf numFmtId="0" fontId="34" fillId="17" borderId="0" xfId="0" applyFont="1" applyFill="1" applyBorder="1" applyAlignment="1">
      <alignment horizontal="center" vertical="center" wrapText="1"/>
    </xf>
    <xf numFmtId="3" fontId="34" fillId="17" borderId="0" xfId="0" applyNumberFormat="1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32" fillId="18" borderId="0" xfId="0" applyFont="1" applyFill="1" applyBorder="1" applyAlignment="1">
      <alignment horizontal="left" vertical="center" indent="2"/>
    </xf>
    <xf numFmtId="0" fontId="0" fillId="18" borderId="0" xfId="0" applyFill="1" applyBorder="1"/>
    <xf numFmtId="0" fontId="33" fillId="18" borderId="0" xfId="0" applyFont="1" applyFill="1" applyBorder="1" applyAlignment="1">
      <alignment horizontal="center" vertical="center" wrapText="1"/>
    </xf>
    <xf numFmtId="3" fontId="33" fillId="18" borderId="0" xfId="0" applyNumberFormat="1" applyFont="1" applyFill="1" applyBorder="1" applyAlignment="1">
      <alignment horizontal="center" vertical="center" wrapText="1"/>
    </xf>
    <xf numFmtId="167" fontId="17" fillId="13" borderId="0" xfId="0" applyNumberFormat="1" applyFont="1" applyFill="1" applyBorder="1"/>
    <xf numFmtId="165" fontId="17" fillId="13" borderId="0" xfId="0" applyNumberFormat="1" applyFont="1" applyFill="1" applyBorder="1"/>
    <xf numFmtId="2" fontId="17" fillId="19" borderId="0" xfId="0" applyNumberFormat="1" applyFont="1" applyFill="1" applyBorder="1"/>
    <xf numFmtId="4" fontId="0" fillId="13" borderId="0" xfId="0" applyNumberFormat="1" applyFill="1" applyBorder="1"/>
    <xf numFmtId="165" fontId="36" fillId="12" borderId="0" xfId="0" applyNumberFormat="1" applyFont="1" applyFill="1" applyBorder="1" applyAlignment="1">
      <alignment horizontal="center"/>
    </xf>
    <xf numFmtId="0" fontId="17" fillId="20" borderId="0" xfId="0" applyFont="1" applyFill="1" applyBorder="1"/>
    <xf numFmtId="165" fontId="17" fillId="13" borderId="0" xfId="0" applyNumberFormat="1" applyFont="1" applyFill="1" applyBorder="1" applyAlignment="1">
      <alignment horizontal="center"/>
    </xf>
    <xf numFmtId="170" fontId="17" fillId="13" borderId="0" xfId="0" applyNumberFormat="1" applyFont="1" applyFill="1" applyBorder="1"/>
    <xf numFmtId="171" fontId="6" fillId="13" borderId="0" xfId="0" applyNumberFormat="1" applyFont="1" applyFill="1" applyBorder="1"/>
    <xf numFmtId="165" fontId="6" fillId="13" borderId="0" xfId="0" applyNumberFormat="1" applyFont="1" applyFill="1" applyBorder="1" applyAlignment="1">
      <alignment horizontal="center" textRotation="180"/>
    </xf>
    <xf numFmtId="167" fontId="6" fillId="13" borderId="0" xfId="0" applyNumberFormat="1" applyFont="1" applyFill="1" applyBorder="1"/>
    <xf numFmtId="165" fontId="17" fillId="21" borderId="0" xfId="0" applyNumberFormat="1" applyFont="1" applyFill="1" applyBorder="1"/>
    <xf numFmtId="10" fontId="6" fillId="13" borderId="0" xfId="0" applyNumberFormat="1" applyFont="1" applyFill="1" applyBorder="1"/>
    <xf numFmtId="165" fontId="17" fillId="20" borderId="0" xfId="0" applyNumberFormat="1" applyFont="1" applyFill="1" applyBorder="1"/>
    <xf numFmtId="9" fontId="6" fillId="13" borderId="0" xfId="0" applyNumberFormat="1" applyFont="1" applyFill="1" applyBorder="1"/>
    <xf numFmtId="0" fontId="47" fillId="13" borderId="5" xfId="0" applyFont="1" applyFill="1" applyBorder="1" applyAlignment="1">
      <alignment horizontal="center" vertical="center"/>
    </xf>
    <xf numFmtId="0" fontId="48" fillId="13" borderId="5" xfId="0" applyFont="1" applyFill="1" applyBorder="1" applyAlignment="1">
      <alignment horizontal="center" vertical="center"/>
    </xf>
    <xf numFmtId="0" fontId="0" fillId="13" borderId="0" xfId="0" applyFill="1"/>
    <xf numFmtId="0" fontId="45" fillId="18" borderId="5" xfId="0" applyFont="1" applyFill="1" applyBorder="1" applyAlignment="1">
      <alignment horizontal="left" vertical="center" indent="1"/>
    </xf>
    <xf numFmtId="172" fontId="45" fillId="18" borderId="5" xfId="0" applyNumberFormat="1" applyFont="1" applyFill="1" applyBorder="1" applyAlignment="1">
      <alignment horizontal="center" vertical="center"/>
    </xf>
    <xf numFmtId="167" fontId="45" fillId="18" borderId="5" xfId="0" applyNumberFormat="1" applyFont="1" applyFill="1" applyBorder="1" applyAlignment="1">
      <alignment horizontal="center" vertical="center"/>
    </xf>
    <xf numFmtId="0" fontId="40" fillId="18" borderId="5" xfId="0" applyFont="1" applyFill="1" applyBorder="1" applyAlignment="1">
      <alignment horizontal="left" vertical="center" indent="1"/>
    </xf>
    <xf numFmtId="172" fontId="40" fillId="18" borderId="5" xfId="0" applyNumberFormat="1" applyFont="1" applyFill="1" applyBorder="1" applyAlignment="1">
      <alignment horizontal="center" vertical="center"/>
    </xf>
    <xf numFmtId="4" fontId="45" fillId="18" borderId="5" xfId="0" applyNumberFormat="1" applyFont="1" applyFill="1" applyBorder="1" applyAlignment="1">
      <alignment horizontal="center" vertical="center"/>
    </xf>
    <xf numFmtId="4" fontId="40" fillId="18" borderId="5" xfId="0" applyNumberFormat="1" applyFont="1" applyFill="1" applyBorder="1" applyAlignment="1">
      <alignment horizontal="center" vertical="center"/>
    </xf>
    <xf numFmtId="172" fontId="40" fillId="13" borderId="5" xfId="0" applyNumberFormat="1" applyFont="1" applyFill="1" applyBorder="1" applyAlignment="1">
      <alignment horizontal="center" vertical="center"/>
    </xf>
    <xf numFmtId="172" fontId="45" fillId="13" borderId="5" xfId="0" applyNumberFormat="1" applyFont="1" applyFill="1" applyBorder="1" applyAlignment="1">
      <alignment horizontal="center" vertical="center"/>
    </xf>
    <xf numFmtId="0" fontId="0" fillId="13" borderId="5" xfId="0" applyFill="1" applyBorder="1"/>
    <xf numFmtId="1" fontId="45" fillId="13" borderId="5" xfId="0" applyNumberFormat="1" applyFont="1" applyFill="1" applyBorder="1" applyAlignment="1">
      <alignment horizontal="center" vertical="center"/>
    </xf>
    <xf numFmtId="1" fontId="45" fillId="18" borderId="5" xfId="0" applyNumberFormat="1" applyFont="1" applyFill="1" applyBorder="1" applyAlignment="1">
      <alignment horizontal="center" vertical="center"/>
    </xf>
    <xf numFmtId="173" fontId="45" fillId="13" borderId="5" xfId="0" applyNumberFormat="1" applyFont="1" applyFill="1" applyBorder="1" applyAlignment="1">
      <alignment horizontal="center" vertical="center"/>
    </xf>
    <xf numFmtId="0" fontId="45" fillId="18" borderId="5" xfId="0" applyFont="1" applyFill="1" applyBorder="1" applyAlignment="1">
      <alignment horizontal="left" vertical="center" indent="1"/>
    </xf>
    <xf numFmtId="4" fontId="40" fillId="2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F3864"/>
      <rgbColor rgb="FF808000"/>
      <rgbColor rgb="FF800080"/>
      <rgbColor rgb="FF2E5090"/>
      <rgbColor rgb="FFBFBFBF"/>
      <rgbColor rgb="FF808080"/>
      <rgbColor rgb="FFAAAAAA"/>
      <rgbColor rgb="FF595959"/>
      <rgbColor rgb="FFF2F2F2"/>
      <rgbColor rgb="FFDEEAF1"/>
      <rgbColor rgb="FF660066"/>
      <rgbColor rgb="FFFF8080"/>
      <rgbColor rgb="FF2E5DA8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DCE4"/>
      <rgbColor rgb="FFE2EFDA"/>
      <rgbColor rgb="FFFFFF99"/>
      <rgbColor rgb="FFD9D9D9"/>
      <rgbColor rgb="FFFF99CC"/>
      <rgbColor rgb="FFCC99FF"/>
      <rgbColor rgb="FFFCE4D6"/>
      <rgbColor rgb="FF2F5597"/>
      <rgbColor rgb="FF33CCCC"/>
      <rgbColor rgb="FF99CC00"/>
      <rgbColor rgb="FFFFC000"/>
      <rgbColor rgb="FFFF9900"/>
      <rgbColor rgb="FFFF6600"/>
      <rgbColor rgb="FF767171"/>
      <rgbColor rgb="FF888888"/>
      <rgbColor rgb="FF002060"/>
      <rgbColor rgb="FF00B050"/>
      <rgbColor rgb="FF101113"/>
      <rgbColor rgb="FF444444"/>
      <rgbColor rgb="FF993300"/>
      <rgbColor rgb="FF555555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Valuation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Summary!$H$7:$K$7</c:f>
              <c:numCache>
                <c:formatCode>#,##0;\(#,##0\);\-</c:formatCode>
                <c:ptCount val="4"/>
                <c:pt idx="0">
                  <c:v>840.58620689655174</c:v>
                </c:pt>
                <c:pt idx="1">
                  <c:v>746.89766571738994</c:v>
                </c:pt>
                <c:pt idx="2">
                  <c:v>444.5</c:v>
                </c:pt>
                <c:pt idx="3">
                  <c:v>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FC-490C-A26D-C565797749EB}"/>
            </c:ext>
          </c:extLst>
        </c:ser>
        <c:ser>
          <c:idx val="2"/>
          <c:order val="1"/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Summary!$H$8:$K$8</c:f>
              <c:numCache>
                <c:formatCode>#,##0;\(#,##0\);\-</c:formatCode>
                <c:ptCount val="4"/>
                <c:pt idx="0">
                  <c:v>840.58620689655174</c:v>
                </c:pt>
                <c:pt idx="1">
                  <c:v>746.89766571738994</c:v>
                </c:pt>
                <c:pt idx="2">
                  <c:v>444.5</c:v>
                </c:pt>
                <c:pt idx="3">
                  <c:v>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FC-490C-A26D-C565797749EB}"/>
            </c:ext>
          </c:extLst>
        </c:ser>
        <c:ser>
          <c:idx val="3"/>
          <c:order val="2"/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Summary!$H$9:$K$9</c:f>
              <c:numCache>
                <c:formatCode>#,##0;\(#,##0\);\-</c:formatCode>
                <c:ptCount val="4"/>
                <c:pt idx="0">
                  <c:v>525.04022988505744</c:v>
                </c:pt>
                <c:pt idx="1">
                  <c:v>594.11576405043479</c:v>
                </c:pt>
                <c:pt idx="2">
                  <c:v>386.7</c:v>
                </c:pt>
                <c:pt idx="3">
                  <c:v>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8FC-490C-A26D-C565797749EB}"/>
            </c:ext>
          </c:extLst>
        </c:ser>
        <c:ser>
          <c:idx val="4"/>
          <c:order val="3"/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Summary!$H$10:$K$10</c:f>
              <c:numCache>
                <c:formatCode>#,##0;\(#,##0\);\-</c:formatCode>
                <c:ptCount val="4"/>
                <c:pt idx="0">
                  <c:v>525.04022988505744</c:v>
                </c:pt>
                <c:pt idx="1">
                  <c:v>594.11576405043479</c:v>
                </c:pt>
                <c:pt idx="2">
                  <c:v>386.7</c:v>
                </c:pt>
                <c:pt idx="3">
                  <c:v>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8FC-490C-A26D-C56579774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360">
              <a:solidFill>
                <a:srgbClr val="404040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9360">
                <a:solidFill>
                  <a:srgbClr val="595959"/>
                </a:solidFill>
                <a:round/>
              </a:ln>
            </c:spPr>
          </c:upBars>
          <c:downBars>
            <c:spPr>
              <a:solidFill>
                <a:srgbClr val="404040"/>
              </a:solidFill>
              <a:ln w="9360">
                <a:solidFill>
                  <a:srgbClr val="595959"/>
                </a:solidFill>
                <a:round/>
              </a:ln>
            </c:spPr>
          </c:downBars>
        </c:upDownBars>
        <c:axId val="98623515"/>
        <c:axId val="73274174"/>
      </c:stockChart>
      <c:catAx>
        <c:axId val="986235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3274174"/>
        <c:crosses val="autoZero"/>
        <c:auto val="1"/>
        <c:lblAlgn val="ctr"/>
        <c:lblOffset val="100"/>
        <c:noMultiLvlLbl val="0"/>
      </c:catAx>
      <c:valAx>
        <c:axId val="73274174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8623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98280</xdr:colOff>
      <xdr:row>13</xdr:row>
      <xdr:rowOff>157680</xdr:rowOff>
    </xdr:from>
    <xdr:to>
      <xdr:col>10</xdr:col>
      <xdr:colOff>472320</xdr:colOff>
      <xdr:row>29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showGridLines="0" topLeftCell="A25" zoomScaleNormal="100" workbookViewId="0">
      <selection activeCell="B12" sqref="B12"/>
    </sheetView>
  </sheetViews>
  <sheetFormatPr defaultColWidth="8.7265625" defaultRowHeight="14.5" x14ac:dyDescent="0.35"/>
  <cols>
    <col min="1" max="1" width="52.90625" style="11" customWidth="1"/>
    <col min="2" max="16384" width="8.7265625" style="11"/>
  </cols>
  <sheetData>
    <row r="1" spans="1:12" ht="30.75" customHeight="1" x14ac:dyDescent="0.7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4.2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4.25" customHeight="1" x14ac:dyDescent="0.35">
      <c r="A3" s="11" t="s">
        <v>1</v>
      </c>
      <c r="B3" s="11">
        <v>2021</v>
      </c>
      <c r="C3" s="11">
        <f>B3+1</f>
        <v>2022</v>
      </c>
      <c r="D3" s="11">
        <f>C3+1</f>
        <v>2023</v>
      </c>
      <c r="E3" s="11">
        <f>D3+1</f>
        <v>2024</v>
      </c>
      <c r="F3" s="11">
        <f>E3+1</f>
        <v>2025</v>
      </c>
    </row>
    <row r="4" spans="1:12" ht="14.25" customHeight="1" x14ac:dyDescent="0.35">
      <c r="A4" s="11" t="s">
        <v>2</v>
      </c>
    </row>
    <row r="5" spans="1:12" ht="14.25" customHeight="1" x14ac:dyDescent="0.35">
      <c r="A5" s="11" t="s">
        <v>3</v>
      </c>
      <c r="B5" s="14">
        <v>14972.91</v>
      </c>
      <c r="C5" s="14">
        <v>18219.599999999999</v>
      </c>
      <c r="D5" s="14">
        <v>22472.38</v>
      </c>
      <c r="E5" s="14">
        <v>25330.86</v>
      </c>
      <c r="F5" s="11">
        <v>26957</v>
      </c>
    </row>
    <row r="6" spans="1:12" ht="14.25" customHeight="1" x14ac:dyDescent="0.35">
      <c r="A6" s="11" t="s">
        <v>4</v>
      </c>
      <c r="B6" s="11">
        <v>336.94</v>
      </c>
      <c r="C6" s="11">
        <v>421.84</v>
      </c>
      <c r="D6" s="11">
        <v>323.37</v>
      </c>
      <c r="E6" s="11">
        <v>367.51</v>
      </c>
      <c r="F6" s="11">
        <v>592</v>
      </c>
    </row>
    <row r="7" spans="1:12" ht="15" customHeight="1" x14ac:dyDescent="0.35">
      <c r="A7" s="15" t="s">
        <v>5</v>
      </c>
      <c r="B7" s="16">
        <v>15309.85</v>
      </c>
      <c r="C7" s="16">
        <v>18641.439999999999</v>
      </c>
      <c r="D7" s="16">
        <v>22795.75</v>
      </c>
      <c r="E7" s="16">
        <v>25698.37</v>
      </c>
      <c r="F7" s="15">
        <v>27549</v>
      </c>
    </row>
    <row r="8" spans="1:12" ht="15" customHeight="1" x14ac:dyDescent="0.35">
      <c r="A8" s="11" t="s">
        <v>6</v>
      </c>
    </row>
    <row r="9" spans="1:12" ht="14.25" customHeight="1" x14ac:dyDescent="0.35">
      <c r="A9" s="11" t="s">
        <v>7</v>
      </c>
      <c r="B9" s="14">
        <v>7212.55</v>
      </c>
      <c r="C9" s="14">
        <v>8942.33</v>
      </c>
      <c r="D9" s="14">
        <v>10688.97</v>
      </c>
      <c r="E9" s="14">
        <v>12034.04</v>
      </c>
      <c r="F9" s="11">
        <v>12746</v>
      </c>
    </row>
    <row r="10" spans="1:12" ht="14.25" customHeight="1" x14ac:dyDescent="0.35">
      <c r="A10" s="11" t="s">
        <v>8</v>
      </c>
      <c r="B10" s="14">
        <v>1353.31</v>
      </c>
      <c r="C10" s="14">
        <v>1687.73</v>
      </c>
      <c r="D10" s="14">
        <v>1907.05</v>
      </c>
      <c r="E10" s="14">
        <v>2567.34</v>
      </c>
      <c r="F10" s="11">
        <v>2749</v>
      </c>
    </row>
    <row r="11" spans="1:12" ht="14.25" customHeight="1" x14ac:dyDescent="0.35">
      <c r="A11" s="11" t="s">
        <v>9</v>
      </c>
    </row>
    <row r="12" spans="1:12" ht="14.25" customHeight="1" x14ac:dyDescent="0.35">
      <c r="A12" s="11" t="s">
        <v>10</v>
      </c>
      <c r="B12" s="11">
        <v>-641.61</v>
      </c>
      <c r="C12" s="11">
        <v>-750.05</v>
      </c>
      <c r="D12" s="11">
        <v>179.08</v>
      </c>
      <c r="E12" s="11">
        <v>-379.94</v>
      </c>
      <c r="F12" s="11">
        <v>-932</v>
      </c>
    </row>
    <row r="13" spans="1:12" ht="14.25" customHeight="1" x14ac:dyDescent="0.35">
      <c r="A13" s="11" t="s">
        <v>11</v>
      </c>
      <c r="B13" s="14">
        <v>2153.75</v>
      </c>
      <c r="C13" s="11">
        <v>2438.9699999999998</v>
      </c>
      <c r="D13" s="14">
        <v>2696.83</v>
      </c>
      <c r="E13" s="14">
        <v>3135.19</v>
      </c>
      <c r="F13" s="11">
        <v>3643</v>
      </c>
      <c r="H13" s="14"/>
    </row>
    <row r="14" spans="1:12" ht="14.25" customHeight="1" x14ac:dyDescent="0.35">
      <c r="A14" s="11" t="s">
        <v>12</v>
      </c>
      <c r="B14" s="11">
        <v>50.4</v>
      </c>
      <c r="C14" s="11">
        <v>61.26</v>
      </c>
      <c r="D14" s="11">
        <v>52.9</v>
      </c>
      <c r="E14" s="11">
        <v>27.17</v>
      </c>
      <c r="F14" s="11">
        <v>30</v>
      </c>
    </row>
    <row r="15" spans="1:12" ht="14.25" customHeight="1" x14ac:dyDescent="0.35">
      <c r="A15" s="11" t="s">
        <v>13</v>
      </c>
      <c r="B15" s="11">
        <v>435.34</v>
      </c>
      <c r="C15" s="11">
        <v>452.61</v>
      </c>
      <c r="D15" s="11">
        <v>496.78</v>
      </c>
      <c r="E15" s="11">
        <v>543.24</v>
      </c>
      <c r="F15" s="11">
        <v>583</v>
      </c>
    </row>
    <row r="16" spans="1:12" ht="14.25" customHeight="1" x14ac:dyDescent="0.35">
      <c r="A16" s="11" t="s">
        <v>14</v>
      </c>
      <c r="B16" s="14">
        <v>2800.24</v>
      </c>
      <c r="C16" s="11">
        <v>3434.13</v>
      </c>
      <c r="D16" s="14">
        <v>4064.75</v>
      </c>
      <c r="E16" s="14">
        <v>4598.8900000000003</v>
      </c>
      <c r="F16" s="11">
        <v>5016</v>
      </c>
      <c r="H16" s="14"/>
    </row>
    <row r="17" spans="1:8" ht="15" customHeight="1" x14ac:dyDescent="0.35">
      <c r="A17" s="15" t="s">
        <v>15</v>
      </c>
      <c r="B17" s="16">
        <v>13363.98</v>
      </c>
      <c r="C17" s="15">
        <v>16266.98</v>
      </c>
      <c r="D17" s="16">
        <v>20086.36</v>
      </c>
      <c r="E17" s="16">
        <v>22525.93</v>
      </c>
      <c r="F17" s="15">
        <f>SUM(F9:F16)</f>
        <v>23835</v>
      </c>
      <c r="H17" s="14"/>
    </row>
    <row r="18" spans="1:8" ht="15" customHeight="1" x14ac:dyDescent="0.35">
      <c r="A18" s="11" t="s">
        <v>16</v>
      </c>
    </row>
    <row r="19" spans="1:8" ht="14.25" customHeight="1" x14ac:dyDescent="0.35">
      <c r="A19" s="11" t="s">
        <v>17</v>
      </c>
      <c r="B19" s="14">
        <v>1945.87</v>
      </c>
      <c r="C19" s="14">
        <v>2374.46</v>
      </c>
      <c r="D19" s="14">
        <v>3172.44</v>
      </c>
      <c r="E19" s="14">
        <v>2709.39</v>
      </c>
      <c r="F19" s="11">
        <v>3714</v>
      </c>
    </row>
    <row r="20" spans="1:8" ht="14.25" customHeight="1" x14ac:dyDescent="0.35">
      <c r="A20" s="11" t="s">
        <v>18</v>
      </c>
    </row>
    <row r="21" spans="1:8" ht="14.25" customHeight="1" x14ac:dyDescent="0.35">
      <c r="A21" s="11" t="s">
        <v>19</v>
      </c>
      <c r="B21" s="11">
        <v>64.2</v>
      </c>
      <c r="C21" s="11">
        <v>78.23</v>
      </c>
      <c r="D21" s="11">
        <v>94.1</v>
      </c>
      <c r="E21" s="11">
        <v>134.06</v>
      </c>
      <c r="F21" s="11">
        <v>-255</v>
      </c>
    </row>
    <row r="22" spans="1:8" ht="15" customHeight="1" x14ac:dyDescent="0.35">
      <c r="A22" s="15" t="s">
        <v>20</v>
      </c>
      <c r="B22" s="16">
        <v>2010.07</v>
      </c>
      <c r="C22" s="16">
        <v>2452.69</v>
      </c>
      <c r="D22" s="16">
        <v>2803.49</v>
      </c>
      <c r="E22" s="16">
        <v>3306.5</v>
      </c>
      <c r="F22" s="15">
        <v>3459</v>
      </c>
    </row>
    <row r="23" spans="1:8" ht="15" customHeight="1" x14ac:dyDescent="0.35">
      <c r="A23" s="11" t="s">
        <v>21</v>
      </c>
    </row>
    <row r="24" spans="1:8" ht="14.25" customHeight="1" x14ac:dyDescent="0.35">
      <c r="A24" s="11" t="s">
        <v>22</v>
      </c>
      <c r="B24" s="11">
        <v>560.5</v>
      </c>
      <c r="C24" s="11">
        <v>538.51</v>
      </c>
      <c r="D24" s="11">
        <v>721.62</v>
      </c>
      <c r="E24" s="11">
        <v>815.07</v>
      </c>
      <c r="F24" s="11">
        <v>1007</v>
      </c>
    </row>
    <row r="25" spans="1:8" ht="14.25" customHeight="1" x14ac:dyDescent="0.35">
      <c r="A25" s="11" t="s">
        <v>23</v>
      </c>
      <c r="B25" s="11">
        <v>-44.32</v>
      </c>
      <c r="C25" s="11">
        <v>86.77</v>
      </c>
      <c r="D25" s="11">
        <v>-5.46</v>
      </c>
      <c r="E25" s="11">
        <v>16.68</v>
      </c>
      <c r="F25" s="11">
        <v>-107</v>
      </c>
    </row>
    <row r="26" spans="1:8" ht="14.25" customHeight="1" x14ac:dyDescent="0.35">
      <c r="A26" s="11" t="s">
        <v>24</v>
      </c>
      <c r="B26" s="11">
        <v>516.17999999999995</v>
      </c>
      <c r="C26" s="11">
        <v>625.28</v>
      </c>
      <c r="D26" s="11">
        <v>716.16</v>
      </c>
      <c r="E26" s="11">
        <v>831.75</v>
      </c>
      <c r="F26" s="11">
        <v>900</v>
      </c>
    </row>
    <row r="27" spans="1:8" ht="15" customHeight="1" x14ac:dyDescent="0.35">
      <c r="A27" s="15" t="s">
        <v>25</v>
      </c>
      <c r="B27" s="16">
        <v>1493.89</v>
      </c>
      <c r="C27" s="16">
        <v>1827.41</v>
      </c>
      <c r="D27" s="16">
        <v>2087.33</v>
      </c>
      <c r="E27" s="16">
        <v>2474.75</v>
      </c>
      <c r="F27" s="15">
        <v>2559</v>
      </c>
    </row>
    <row r="28" spans="1:8" ht="15" customHeight="1" x14ac:dyDescent="0.35">
      <c r="A28" s="11" t="s">
        <v>26</v>
      </c>
    </row>
    <row r="29" spans="1:8" ht="14.25" customHeight="1" x14ac:dyDescent="0.35">
      <c r="A29" s="11" t="s">
        <v>27</v>
      </c>
    </row>
    <row r="30" spans="1:8" ht="14.25" customHeight="1" x14ac:dyDescent="0.35">
      <c r="A30" s="11" t="s">
        <v>28</v>
      </c>
      <c r="B30" s="11">
        <v>8.5399999999999991</v>
      </c>
      <c r="C30" s="11">
        <v>-90.56</v>
      </c>
      <c r="D30" s="11">
        <v>-36.729999999999997</v>
      </c>
      <c r="E30" s="11">
        <v>31.73</v>
      </c>
      <c r="F30" s="11">
        <v>0</v>
      </c>
    </row>
    <row r="31" spans="1:8" ht="14.25" customHeight="1" x14ac:dyDescent="0.35">
      <c r="A31" s="11" t="s">
        <v>29</v>
      </c>
    </row>
    <row r="32" spans="1:8" ht="14.25" customHeight="1" x14ac:dyDescent="0.35">
      <c r="A32" s="11" t="s">
        <v>30</v>
      </c>
      <c r="B32" s="11">
        <v>-2.15</v>
      </c>
      <c r="C32" s="11">
        <v>22.79</v>
      </c>
      <c r="D32" s="11">
        <v>-7.98</v>
      </c>
      <c r="E32" s="11">
        <v>9.25</v>
      </c>
      <c r="F32" s="11">
        <v>0</v>
      </c>
    </row>
    <row r="33" spans="1:6" ht="14.25" customHeight="1" x14ac:dyDescent="0.35">
      <c r="A33" s="11" t="s">
        <v>31</v>
      </c>
    </row>
    <row r="34" spans="1:6" ht="14.25" customHeight="1" x14ac:dyDescent="0.35">
      <c r="A34" s="11" t="s">
        <v>32</v>
      </c>
      <c r="B34" s="11">
        <v>-2.21</v>
      </c>
      <c r="C34" s="11">
        <v>-1.76</v>
      </c>
      <c r="D34" s="11">
        <v>-1.03</v>
      </c>
      <c r="E34" s="11">
        <v>-3.72</v>
      </c>
      <c r="F34" s="11">
        <f>146</f>
        <v>146</v>
      </c>
    </row>
    <row r="35" spans="1:6" ht="14.25" customHeight="1" x14ac:dyDescent="0.35">
      <c r="A35" s="17" t="s">
        <v>33</v>
      </c>
      <c r="B35" s="17">
        <v>4.18</v>
      </c>
      <c r="C35" s="17">
        <v>-69.53</v>
      </c>
      <c r="D35" s="17">
        <v>22.72</v>
      </c>
      <c r="E35" s="17">
        <v>-31.2</v>
      </c>
      <c r="F35" s="17">
        <v>-75</v>
      </c>
    </row>
    <row r="36" spans="1:6" ht="15" customHeight="1" x14ac:dyDescent="0.35">
      <c r="A36" s="15" t="s">
        <v>34</v>
      </c>
      <c r="B36" s="16">
        <v>1498.07</v>
      </c>
      <c r="C36" s="16">
        <v>1757.88</v>
      </c>
      <c r="D36" s="16">
        <v>2110.0500000000002</v>
      </c>
      <c r="E36" s="16">
        <v>2443.5500000000002</v>
      </c>
      <c r="F36" s="15">
        <v>2630</v>
      </c>
    </row>
    <row r="37" spans="1:6" ht="15" customHeight="1" x14ac:dyDescent="0.35">
      <c r="A37" s="11" t="s">
        <v>35</v>
      </c>
    </row>
    <row r="38" spans="1:6" ht="14.25" customHeight="1" x14ac:dyDescent="0.35">
      <c r="A38" s="1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showGridLines="0" topLeftCell="A34" zoomScale="82" zoomScaleNormal="82" workbookViewId="0">
      <selection activeCell="J46" sqref="J46"/>
    </sheetView>
  </sheetViews>
  <sheetFormatPr defaultColWidth="8.7265625" defaultRowHeight="14.5" x14ac:dyDescent="0.35"/>
  <cols>
    <col min="1" max="1" width="25.54296875" style="11" customWidth="1"/>
    <col min="2" max="2" width="42.26953125" style="11" customWidth="1"/>
    <col min="3" max="6" width="9.1796875" style="11" customWidth="1"/>
    <col min="7" max="7" width="8.81640625" style="11" customWidth="1"/>
    <col min="8" max="16384" width="8.7265625" style="11"/>
  </cols>
  <sheetData>
    <row r="1" spans="1:12" ht="30.75" customHeight="1" x14ac:dyDescent="0.7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4.2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4.25" customHeight="1" x14ac:dyDescent="0.35">
      <c r="C3" s="11">
        <v>2021</v>
      </c>
      <c r="D3" s="11">
        <f>C3+1</f>
        <v>2022</v>
      </c>
      <c r="E3" s="11">
        <f>D3+1</f>
        <v>2023</v>
      </c>
      <c r="F3" s="11">
        <f>E3+1</f>
        <v>2024</v>
      </c>
      <c r="G3" s="11">
        <f>F3+1</f>
        <v>2025</v>
      </c>
    </row>
    <row r="4" spans="1:12" ht="14.25" customHeight="1" x14ac:dyDescent="0.35">
      <c r="A4" s="11" t="s">
        <v>37</v>
      </c>
    </row>
    <row r="5" spans="1:12" ht="14.25" customHeight="1" x14ac:dyDescent="0.35">
      <c r="A5" s="18" t="s">
        <v>38</v>
      </c>
      <c r="B5" s="11" t="s">
        <v>39</v>
      </c>
    </row>
    <row r="6" spans="1:12" ht="14.25" customHeight="1" x14ac:dyDescent="0.35">
      <c r="B6" s="11" t="s">
        <v>40</v>
      </c>
      <c r="C6" s="14">
        <v>2819.53</v>
      </c>
      <c r="D6" s="14">
        <v>3214.64</v>
      </c>
      <c r="E6" s="14">
        <v>3710.4</v>
      </c>
      <c r="F6" s="14">
        <v>3864.74</v>
      </c>
      <c r="G6" s="11">
        <v>4084</v>
      </c>
    </row>
    <row r="7" spans="1:12" ht="14.25" customHeight="1" x14ac:dyDescent="0.35">
      <c r="B7" s="11" t="s">
        <v>41</v>
      </c>
      <c r="C7" s="11">
        <v>273.43</v>
      </c>
      <c r="D7" s="11">
        <v>269.08</v>
      </c>
      <c r="E7" s="11">
        <v>269.25</v>
      </c>
      <c r="F7" s="11">
        <v>327.18</v>
      </c>
      <c r="G7" s="11">
        <v>0</v>
      </c>
    </row>
    <row r="8" spans="1:12" ht="14.25" customHeight="1" x14ac:dyDescent="0.35">
      <c r="B8" s="11" t="s">
        <v>42</v>
      </c>
      <c r="C8" s="11">
        <v>391.76</v>
      </c>
      <c r="D8" s="11">
        <v>251.43</v>
      </c>
      <c r="E8" s="11">
        <v>310.25</v>
      </c>
      <c r="F8" s="11">
        <v>528.08000000000004</v>
      </c>
      <c r="G8" s="11">
        <v>889</v>
      </c>
    </row>
    <row r="9" spans="1:12" ht="14.25" customHeight="1" x14ac:dyDescent="0.35">
      <c r="B9" s="11" t="s">
        <v>43</v>
      </c>
      <c r="C9" s="11">
        <v>13.41</v>
      </c>
      <c r="D9" s="11">
        <v>17.05</v>
      </c>
      <c r="E9" s="11">
        <v>210.24</v>
      </c>
      <c r="F9" s="11">
        <v>192.72</v>
      </c>
      <c r="G9" s="11">
        <v>192</v>
      </c>
    </row>
    <row r="10" spans="1:12" ht="14.25" customHeight="1" x14ac:dyDescent="0.35">
      <c r="B10" s="11" t="s">
        <v>44</v>
      </c>
      <c r="C10" s="11">
        <v>0</v>
      </c>
      <c r="D10" s="11">
        <v>0</v>
      </c>
      <c r="E10" s="11">
        <v>13.75</v>
      </c>
      <c r="F10" s="11">
        <v>18.48</v>
      </c>
      <c r="G10" s="11">
        <v>30</v>
      </c>
    </row>
    <row r="11" spans="1:12" ht="14.25" customHeight="1" x14ac:dyDescent="0.35">
      <c r="B11" s="11" t="s">
        <v>45</v>
      </c>
    </row>
    <row r="12" spans="1:12" ht="14.25" customHeight="1" x14ac:dyDescent="0.35">
      <c r="B12" s="11" t="s">
        <v>46</v>
      </c>
      <c r="C12" s="11">
        <v>697.48</v>
      </c>
      <c r="D12" s="11">
        <v>741.61</v>
      </c>
      <c r="E12" s="11">
        <v>795.36</v>
      </c>
      <c r="F12" s="11">
        <v>878.28</v>
      </c>
      <c r="G12" s="11">
        <v>965</v>
      </c>
    </row>
    <row r="13" spans="1:12" ht="14.25" customHeight="1" x14ac:dyDescent="0.35">
      <c r="B13" s="11" t="s">
        <v>47</v>
      </c>
      <c r="C13" s="11">
        <v>145.36000000000001</v>
      </c>
      <c r="D13" s="11">
        <v>98.24</v>
      </c>
      <c r="E13" s="11">
        <v>42.34</v>
      </c>
      <c r="F13" s="11">
        <v>19.14</v>
      </c>
      <c r="G13" s="11">
        <v>26</v>
      </c>
    </row>
    <row r="14" spans="1:12" ht="14.25" customHeight="1" x14ac:dyDescent="0.35">
      <c r="B14" s="11" t="s">
        <v>48</v>
      </c>
      <c r="C14" s="11">
        <v>122.27</v>
      </c>
      <c r="D14" s="11">
        <v>91.19</v>
      </c>
      <c r="E14" s="11">
        <v>73.91</v>
      </c>
      <c r="F14" s="11">
        <v>80.239999999999995</v>
      </c>
      <c r="G14" s="11">
        <v>83</v>
      </c>
    </row>
    <row r="15" spans="1:12" ht="14.25" customHeight="1" x14ac:dyDescent="0.35">
      <c r="B15" s="11" t="s">
        <v>49</v>
      </c>
      <c r="C15" s="11">
        <v>51.1</v>
      </c>
      <c r="D15" s="11">
        <v>46.33</v>
      </c>
      <c r="E15" s="11">
        <v>42.28</v>
      </c>
      <c r="F15" s="11">
        <v>77.98</v>
      </c>
      <c r="G15" s="11">
        <v>63</v>
      </c>
    </row>
    <row r="16" spans="1:12" ht="14.25" customHeight="1" x14ac:dyDescent="0.35">
      <c r="B16" s="11" t="s">
        <v>50</v>
      </c>
      <c r="C16" s="11">
        <v>0</v>
      </c>
      <c r="D16" s="11">
        <v>0</v>
      </c>
      <c r="E16" s="11">
        <v>0</v>
      </c>
      <c r="F16" s="11">
        <v>0</v>
      </c>
      <c r="G16" s="11">
        <v>109</v>
      </c>
    </row>
    <row r="17" spans="1:8" ht="14.25" customHeight="1" x14ac:dyDescent="0.35">
      <c r="B17" s="11" t="s">
        <v>51</v>
      </c>
      <c r="C17" s="11">
        <v>162.57</v>
      </c>
      <c r="D17" s="11">
        <v>210.77</v>
      </c>
      <c r="E17" s="11">
        <v>185.07</v>
      </c>
      <c r="F17" s="11">
        <v>112.17</v>
      </c>
      <c r="G17" s="11">
        <v>0</v>
      </c>
    </row>
    <row r="18" spans="1:8" ht="14.25" customHeight="1" x14ac:dyDescent="0.35">
      <c r="B18" s="11" t="s">
        <v>52</v>
      </c>
      <c r="C18" s="11">
        <v>214.59</v>
      </c>
      <c r="D18" s="11">
        <v>569.66</v>
      </c>
      <c r="E18" s="11">
        <v>343.23</v>
      </c>
      <c r="F18" s="11">
        <v>344.18</v>
      </c>
      <c r="G18" s="11">
        <v>736</v>
      </c>
      <c r="H18" s="14"/>
    </row>
    <row r="19" spans="1:8" ht="14.25" customHeight="1" x14ac:dyDescent="0.35">
      <c r="B19" s="19" t="s">
        <v>53</v>
      </c>
      <c r="C19" s="20">
        <v>4891.5</v>
      </c>
      <c r="D19" s="19">
        <v>5510</v>
      </c>
      <c r="E19" s="20">
        <v>5996.08</v>
      </c>
      <c r="F19" s="20">
        <v>6443.19</v>
      </c>
      <c r="G19" s="19">
        <v>7177</v>
      </c>
    </row>
    <row r="20" spans="1:8" ht="14.25" customHeight="1" x14ac:dyDescent="0.35">
      <c r="A20" s="18" t="s">
        <v>54</v>
      </c>
      <c r="B20" s="11" t="s">
        <v>55</v>
      </c>
    </row>
    <row r="21" spans="1:8" ht="14.25" customHeight="1" x14ac:dyDescent="0.35">
      <c r="B21" s="11" t="s">
        <v>56</v>
      </c>
      <c r="C21" s="14">
        <v>4230.84</v>
      </c>
      <c r="D21" s="14">
        <v>5610.89</v>
      </c>
      <c r="E21" s="14">
        <v>6426.34</v>
      </c>
      <c r="F21" s="14">
        <v>6428.23</v>
      </c>
      <c r="G21" s="11">
        <v>7861</v>
      </c>
    </row>
    <row r="23" spans="1:8" ht="14.25" customHeight="1" x14ac:dyDescent="0.35">
      <c r="B23" s="11" t="s">
        <v>57</v>
      </c>
      <c r="C23" s="14">
        <v>2779.83</v>
      </c>
      <c r="D23" s="14">
        <v>4036.53</v>
      </c>
      <c r="E23" s="14">
        <v>4917.1899999999996</v>
      </c>
      <c r="F23" s="14">
        <v>6502.73</v>
      </c>
      <c r="G23" s="11">
        <v>8692</v>
      </c>
    </row>
    <row r="24" spans="1:8" ht="14.25" customHeight="1" x14ac:dyDescent="0.35">
      <c r="B24" s="11" t="s">
        <v>58</v>
      </c>
      <c r="C24" s="11">
        <v>565.65</v>
      </c>
      <c r="D24" s="11">
        <v>319.54000000000002</v>
      </c>
      <c r="E24" s="14">
        <v>1195.28</v>
      </c>
      <c r="F24" s="11">
        <v>959.01</v>
      </c>
      <c r="G24" s="11">
        <v>1668</v>
      </c>
    </row>
    <row r="25" spans="1:8" ht="14.25" customHeight="1" x14ac:dyDescent="0.35">
      <c r="B25" s="11" t="s">
        <v>59</v>
      </c>
      <c r="C25" s="14">
        <v>2979.65</v>
      </c>
      <c r="D25" s="14">
        <v>2290.5300000000002</v>
      </c>
      <c r="E25" s="14">
        <v>1550.4</v>
      </c>
      <c r="F25" s="14">
        <v>2275.67</v>
      </c>
      <c r="G25" s="11">
        <v>1166</v>
      </c>
    </row>
    <row r="26" spans="1:8" ht="14.25" customHeight="1" x14ac:dyDescent="0.35">
      <c r="B26" s="11" t="s">
        <v>60</v>
      </c>
      <c r="C26" s="11">
        <v>27.08</v>
      </c>
      <c r="D26" s="11">
        <v>39.340000000000003</v>
      </c>
      <c r="E26" s="11">
        <v>27.96</v>
      </c>
      <c r="F26" s="11">
        <v>52.95</v>
      </c>
      <c r="G26" s="11">
        <v>49</v>
      </c>
    </row>
    <row r="27" spans="1:8" ht="14.25" customHeight="1" x14ac:dyDescent="0.35">
      <c r="B27" s="11" t="s">
        <v>61</v>
      </c>
      <c r="C27" s="11">
        <v>101.24</v>
      </c>
      <c r="D27" s="11">
        <v>89.94</v>
      </c>
      <c r="E27" s="11">
        <v>114.75</v>
      </c>
      <c r="F27" s="11">
        <v>116.69</v>
      </c>
      <c r="G27" s="11">
        <v>200</v>
      </c>
    </row>
    <row r="28" spans="1:8" ht="14.25" customHeight="1" x14ac:dyDescent="0.35">
      <c r="B28" s="11" t="s">
        <v>62</v>
      </c>
      <c r="C28" s="11">
        <v>517.95000000000005</v>
      </c>
      <c r="D28" s="11">
        <v>351.35</v>
      </c>
      <c r="E28" s="11">
        <v>429.43</v>
      </c>
      <c r="F28" s="11">
        <v>701.81</v>
      </c>
      <c r="G28" s="11">
        <v>1113</v>
      </c>
    </row>
    <row r="29" spans="1:8" ht="14.25" customHeight="1" x14ac:dyDescent="0.35">
      <c r="B29" s="17" t="s">
        <v>63</v>
      </c>
      <c r="C29" s="21">
        <v>11202.24</v>
      </c>
      <c r="D29" s="21">
        <v>12738.12</v>
      </c>
      <c r="E29" s="21">
        <v>14661.35</v>
      </c>
      <c r="F29" s="21">
        <v>17037.09</v>
      </c>
      <c r="G29" s="17">
        <v>20749</v>
      </c>
    </row>
    <row r="30" spans="1:8" ht="15" customHeight="1" x14ac:dyDescent="0.35">
      <c r="B30" s="15" t="s">
        <v>64</v>
      </c>
      <c r="C30" s="16">
        <v>16093.74</v>
      </c>
      <c r="D30" s="16">
        <v>18248.12</v>
      </c>
      <c r="E30" s="16">
        <v>20657.43</v>
      </c>
      <c r="F30" s="16">
        <v>23480.28</v>
      </c>
      <c r="G30" s="15">
        <v>27926</v>
      </c>
    </row>
    <row r="31" spans="1:8" ht="15" customHeight="1" x14ac:dyDescent="0.35">
      <c r="A31" s="11" t="s">
        <v>65</v>
      </c>
    </row>
    <row r="32" spans="1:8" ht="14.25" customHeight="1" x14ac:dyDescent="0.35">
      <c r="B32" s="11" t="s">
        <v>66</v>
      </c>
    </row>
    <row r="33" spans="2:7" ht="14.25" customHeight="1" x14ac:dyDescent="0.35">
      <c r="B33" s="11" t="s">
        <v>67</v>
      </c>
      <c r="C33" s="11">
        <v>348.08</v>
      </c>
      <c r="D33" s="11">
        <v>348.08</v>
      </c>
      <c r="E33" s="11">
        <v>348.08</v>
      </c>
      <c r="F33" s="11">
        <v>348.08</v>
      </c>
      <c r="G33" s="11">
        <v>348.08</v>
      </c>
    </row>
    <row r="34" spans="2:7" ht="14.25" customHeight="1" x14ac:dyDescent="0.35">
      <c r="B34" s="11" t="s">
        <v>68</v>
      </c>
      <c r="C34" s="14">
        <v>9760.2999999999993</v>
      </c>
      <c r="D34" s="14">
        <v>11083.08</v>
      </c>
      <c r="E34" s="14">
        <v>12671.01</v>
      </c>
      <c r="F34" s="14">
        <v>14505.42</v>
      </c>
      <c r="G34" s="11">
        <v>16439.919999999998</v>
      </c>
    </row>
    <row r="35" spans="2:7" ht="15" customHeight="1" x14ac:dyDescent="0.35">
      <c r="B35" s="15" t="s">
        <v>69</v>
      </c>
      <c r="C35" s="16">
        <v>10108.379999999999</v>
      </c>
      <c r="D35" s="16">
        <v>11431.16</v>
      </c>
      <c r="E35" s="16">
        <v>13019.09</v>
      </c>
      <c r="F35" s="16">
        <v>14853.5</v>
      </c>
      <c r="G35" s="15">
        <v>16788</v>
      </c>
    </row>
    <row r="36" spans="2:7" ht="15" customHeight="1" x14ac:dyDescent="0.35">
      <c r="B36" s="11" t="s">
        <v>70</v>
      </c>
    </row>
    <row r="37" spans="2:7" ht="14.25" customHeight="1" x14ac:dyDescent="0.35">
      <c r="B37" s="11" t="s">
        <v>71</v>
      </c>
    </row>
    <row r="38" spans="2:7" ht="14.25" customHeight="1" x14ac:dyDescent="0.35">
      <c r="B38" s="11" t="s">
        <v>72</v>
      </c>
    </row>
    <row r="39" spans="2:7" ht="14.25" customHeight="1" x14ac:dyDescent="0.35">
      <c r="B39" s="11" t="s">
        <v>73</v>
      </c>
      <c r="C39" s="11">
        <v>20.34</v>
      </c>
      <c r="D39" s="11">
        <v>19.510000000000002</v>
      </c>
      <c r="E39" s="11">
        <v>21.02</v>
      </c>
      <c r="F39" s="11">
        <v>21.67</v>
      </c>
      <c r="G39" s="11">
        <v>42</v>
      </c>
    </row>
    <row r="40" spans="2:7" ht="14.25" customHeight="1" x14ac:dyDescent="0.35">
      <c r="B40" s="11" t="s">
        <v>74</v>
      </c>
      <c r="C40" s="11">
        <v>516.66999999999996</v>
      </c>
      <c r="D40" s="11">
        <v>433.1</v>
      </c>
      <c r="E40" s="11">
        <v>437</v>
      </c>
      <c r="F40" s="11">
        <v>569.82000000000005</v>
      </c>
      <c r="G40" s="11">
        <v>851</v>
      </c>
    </row>
    <row r="41" spans="2:7" ht="14.25" customHeight="1" x14ac:dyDescent="0.35">
      <c r="B41" s="11" t="s">
        <v>75</v>
      </c>
      <c r="C41" s="11">
        <v>0</v>
      </c>
      <c r="D41" s="11">
        <v>12.88</v>
      </c>
      <c r="E41" s="11">
        <v>15.4</v>
      </c>
      <c r="F41" s="11">
        <v>22.83</v>
      </c>
      <c r="G41" s="11">
        <v>0</v>
      </c>
    </row>
    <row r="42" spans="2:7" ht="14.25" customHeight="1" x14ac:dyDescent="0.35">
      <c r="B42" s="11" t="s">
        <v>76</v>
      </c>
      <c r="C42" s="11">
        <v>537.01</v>
      </c>
      <c r="D42" s="11">
        <v>465.49</v>
      </c>
      <c r="E42" s="11">
        <v>473.42</v>
      </c>
      <c r="F42" s="11">
        <v>614.32000000000005</v>
      </c>
      <c r="G42" s="11">
        <v>893</v>
      </c>
    </row>
    <row r="43" spans="2:7" ht="14.25" customHeight="1" x14ac:dyDescent="0.35">
      <c r="B43" s="11" t="s">
        <v>77</v>
      </c>
    </row>
    <row r="44" spans="2:7" ht="14.25" customHeight="1" x14ac:dyDescent="0.35">
      <c r="B44" s="11" t="s">
        <v>72</v>
      </c>
    </row>
    <row r="45" spans="2:7" ht="14.25" customHeight="1" x14ac:dyDescent="0.35">
      <c r="B45" s="11" t="s">
        <v>73</v>
      </c>
      <c r="C45" s="11">
        <v>9.5500000000000007</v>
      </c>
      <c r="D45" s="11">
        <v>9.31</v>
      </c>
      <c r="E45" s="11">
        <v>11.34</v>
      </c>
      <c r="F45" s="11">
        <v>12.69</v>
      </c>
      <c r="G45" s="11">
        <v>0</v>
      </c>
    </row>
    <row r="46" spans="2:7" ht="14.25" customHeight="1" x14ac:dyDescent="0.35">
      <c r="B46" s="11" t="s">
        <v>78</v>
      </c>
    </row>
    <row r="47" spans="2:7" ht="14.25" customHeight="1" x14ac:dyDescent="0.35">
      <c r="B47" s="11" t="s">
        <v>79</v>
      </c>
      <c r="C47" s="11">
        <v>212.05</v>
      </c>
      <c r="D47" s="11">
        <v>482.97</v>
      </c>
      <c r="E47" s="11">
        <v>473.09</v>
      </c>
      <c r="F47" s="11">
        <v>347.31</v>
      </c>
      <c r="G47" s="11">
        <v>492</v>
      </c>
    </row>
    <row r="48" spans="2:7" ht="14.25" customHeight="1" x14ac:dyDescent="0.35">
      <c r="B48" s="11" t="s">
        <v>80</v>
      </c>
    </row>
    <row r="49" spans="2:7" ht="14.25" customHeight="1" x14ac:dyDescent="0.35">
      <c r="B49" s="11" t="s">
        <v>81</v>
      </c>
      <c r="C49" s="14">
        <v>2579.5</v>
      </c>
      <c r="D49" s="14">
        <v>2659.7</v>
      </c>
      <c r="E49" s="14">
        <v>2959.46</v>
      </c>
      <c r="F49" s="14">
        <v>3406.08</v>
      </c>
      <c r="G49" s="11">
        <v>3921</v>
      </c>
    </row>
    <row r="50" spans="2:7" ht="14.25" customHeight="1" x14ac:dyDescent="0.35">
      <c r="B50" s="11" t="s">
        <v>82</v>
      </c>
    </row>
    <row r="51" spans="2:7" ht="14.25" customHeight="1" x14ac:dyDescent="0.35">
      <c r="B51" s="11" t="s">
        <v>83</v>
      </c>
      <c r="C51" s="11">
        <v>827.15</v>
      </c>
      <c r="D51" s="11">
        <v>733.89</v>
      </c>
      <c r="E51" s="11">
        <v>925.02</v>
      </c>
      <c r="F51" s="11">
        <v>955.44</v>
      </c>
      <c r="G51" s="11">
        <v>712</v>
      </c>
    </row>
    <row r="52" spans="2:7" ht="14.25" customHeight="1" x14ac:dyDescent="0.35">
      <c r="B52" s="11" t="s">
        <v>84</v>
      </c>
      <c r="C52" s="14">
        <v>1261.71</v>
      </c>
      <c r="D52" s="14">
        <v>1962.66</v>
      </c>
      <c r="E52" s="14">
        <v>2258.52</v>
      </c>
      <c r="F52" s="14">
        <v>2657.72</v>
      </c>
      <c r="G52" s="11">
        <v>4242</v>
      </c>
    </row>
    <row r="53" spans="2:7" ht="14.25" customHeight="1" x14ac:dyDescent="0.35">
      <c r="B53" s="11" t="s">
        <v>74</v>
      </c>
      <c r="C53" s="11">
        <v>540.75</v>
      </c>
      <c r="D53" s="11">
        <v>502.94</v>
      </c>
      <c r="E53" s="11">
        <v>537.49</v>
      </c>
      <c r="F53" s="11">
        <v>558.52</v>
      </c>
      <c r="G53" s="11">
        <v>839</v>
      </c>
    </row>
    <row r="54" spans="2:7" ht="14.25" customHeight="1" x14ac:dyDescent="0.35">
      <c r="B54" s="11" t="s">
        <v>85</v>
      </c>
      <c r="C54" s="11">
        <v>17.64</v>
      </c>
      <c r="D54" s="11">
        <v>0</v>
      </c>
      <c r="E54" s="11">
        <v>0</v>
      </c>
      <c r="F54" s="11">
        <v>74.7</v>
      </c>
      <c r="G54" s="11">
        <v>39</v>
      </c>
    </row>
    <row r="55" spans="2:7" ht="14.25" customHeight="1" x14ac:dyDescent="0.35">
      <c r="B55" s="17" t="s">
        <v>86</v>
      </c>
      <c r="C55" s="21">
        <v>5448.35</v>
      </c>
      <c r="D55" s="21">
        <v>6351.47</v>
      </c>
      <c r="E55" s="21">
        <v>7164.92</v>
      </c>
      <c r="F55" s="21">
        <v>8012.46</v>
      </c>
      <c r="G55" s="17">
        <v>10245</v>
      </c>
    </row>
    <row r="56" spans="2:7" ht="14.25" customHeight="1" x14ac:dyDescent="0.35">
      <c r="B56" s="17" t="s">
        <v>87</v>
      </c>
      <c r="C56" s="21">
        <v>5985.36</v>
      </c>
      <c r="D56" s="14">
        <v>6816.96</v>
      </c>
      <c r="E56" s="21">
        <v>7638.34</v>
      </c>
      <c r="F56" s="21">
        <v>8626.7800000000007</v>
      </c>
      <c r="G56" s="17">
        <v>11138</v>
      </c>
    </row>
    <row r="57" spans="2:7" ht="15" customHeight="1" x14ac:dyDescent="0.35">
      <c r="B57" s="15" t="s">
        <v>88</v>
      </c>
      <c r="C57" s="16">
        <v>16093.74</v>
      </c>
      <c r="D57" s="16">
        <v>18248.12</v>
      </c>
      <c r="E57" s="16">
        <v>20657.43</v>
      </c>
      <c r="F57" s="16">
        <v>23480.28</v>
      </c>
      <c r="G57" s="15">
        <v>27926</v>
      </c>
    </row>
    <row r="58" spans="2:7" ht="1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showGridLines="0" zoomScaleNormal="100" workbookViewId="0">
      <selection activeCell="K6" sqref="K6"/>
    </sheetView>
  </sheetViews>
  <sheetFormatPr defaultColWidth="8.7265625" defaultRowHeight="14.5" x14ac:dyDescent="0.35"/>
  <cols>
    <col min="1" max="1" width="8.7265625" style="11"/>
    <col min="2" max="2" width="28.6328125" style="11" customWidth="1"/>
    <col min="3" max="3" width="11.90625" style="11" customWidth="1"/>
    <col min="4" max="6" width="8.7265625" style="11"/>
    <col min="7" max="7" width="8.453125" style="11" customWidth="1"/>
    <col min="8" max="8" width="8.54296875" style="11" customWidth="1"/>
    <col min="9" max="16384" width="8.7265625" style="11"/>
  </cols>
  <sheetData>
    <row r="1" spans="1:10" ht="33" customHeight="1" x14ac:dyDescent="0.7">
      <c r="A1" s="22" t="s">
        <v>0</v>
      </c>
      <c r="B1" s="23"/>
      <c r="C1" s="23"/>
      <c r="D1" s="24"/>
    </row>
    <row r="2" spans="1:10" ht="14.25" customHeight="1" x14ac:dyDescent="0.35">
      <c r="A2" s="23" t="s">
        <v>89</v>
      </c>
      <c r="B2" s="23"/>
      <c r="C2" s="23"/>
      <c r="D2" s="24"/>
    </row>
    <row r="4" spans="1:10" ht="15" customHeight="1" x14ac:dyDescent="0.35">
      <c r="B4" s="25" t="s">
        <v>89</v>
      </c>
      <c r="C4" s="26" t="s">
        <v>90</v>
      </c>
      <c r="E4" s="27"/>
      <c r="F4" s="27">
        <v>2026</v>
      </c>
      <c r="G4" s="27">
        <f>F4+1</f>
        <v>2027</v>
      </c>
      <c r="H4" s="27">
        <f>G4+1</f>
        <v>2028</v>
      </c>
      <c r="I4" s="27">
        <f>H4+1</f>
        <v>2029</v>
      </c>
      <c r="J4" s="27">
        <f>I4+1</f>
        <v>2030</v>
      </c>
    </row>
    <row r="5" spans="1:10" ht="15" customHeight="1" x14ac:dyDescent="0.35">
      <c r="B5" s="28" t="s">
        <v>91</v>
      </c>
      <c r="C5" s="29">
        <v>0.08</v>
      </c>
      <c r="F5" s="30">
        <f>C5</f>
        <v>0.08</v>
      </c>
      <c r="G5" s="30">
        <f t="shared" ref="G5:J7" si="0">F5*(1-$C$8)</f>
        <v>6.8000000000000005E-2</v>
      </c>
      <c r="H5" s="30">
        <f t="shared" si="0"/>
        <v>5.7800000000000004E-2</v>
      </c>
      <c r="I5" s="30">
        <f t="shared" si="0"/>
        <v>4.913E-2</v>
      </c>
      <c r="J5" s="30">
        <f t="shared" si="0"/>
        <v>4.1760499999999999E-2</v>
      </c>
    </row>
    <row r="6" spans="1:10" ht="15" customHeight="1" x14ac:dyDescent="0.35">
      <c r="B6" s="28" t="s">
        <v>92</v>
      </c>
      <c r="C6" s="29">
        <f>MAX(Model!I8:L8)</f>
        <v>0.23341785769171675</v>
      </c>
      <c r="F6" s="30">
        <f>C6</f>
        <v>0.23341785769171675</v>
      </c>
      <c r="G6" s="30">
        <f t="shared" si="0"/>
        <v>0.19840517903795923</v>
      </c>
      <c r="H6" s="30">
        <f t="shared" si="0"/>
        <v>0.16864440218226534</v>
      </c>
      <c r="I6" s="30">
        <f t="shared" si="0"/>
        <v>0.14334774185492555</v>
      </c>
      <c r="J6" s="30">
        <f t="shared" si="0"/>
        <v>0.12184558057668671</v>
      </c>
    </row>
    <row r="7" spans="1:10" ht="15" customHeight="1" x14ac:dyDescent="0.35">
      <c r="B7" s="31" t="s">
        <v>93</v>
      </c>
      <c r="C7" s="29">
        <f>MIN(Model!I8:L8)</f>
        <v>6.4196004399376783E-2</v>
      </c>
      <c r="F7" s="30">
        <f>C7</f>
        <v>6.4196004399376783E-2</v>
      </c>
      <c r="G7" s="30">
        <f t="shared" si="0"/>
        <v>5.4566603739470261E-2</v>
      </c>
      <c r="H7" s="30">
        <f t="shared" si="0"/>
        <v>4.6381613178549719E-2</v>
      </c>
      <c r="I7" s="30">
        <f t="shared" si="0"/>
        <v>3.9424371201767262E-2</v>
      </c>
      <c r="J7" s="30">
        <f t="shared" si="0"/>
        <v>3.3510715521502171E-2</v>
      </c>
    </row>
    <row r="8" spans="1:10" ht="15" customHeight="1" x14ac:dyDescent="0.35">
      <c r="B8" s="31" t="s">
        <v>94</v>
      </c>
      <c r="C8" s="32">
        <v>0.15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3"/>
  <sheetViews>
    <sheetView showGridLines="0" zoomScaleNormal="100" workbookViewId="0"/>
  </sheetViews>
  <sheetFormatPr defaultColWidth="8.7265625" defaultRowHeight="14.5" x14ac:dyDescent="0.35"/>
  <cols>
    <col min="1" max="1" width="8.7265625" style="11"/>
    <col min="2" max="2" width="59.1796875" style="11" customWidth="1"/>
    <col min="3" max="4" width="9.54296875" style="11" customWidth="1"/>
    <col min="5" max="5" width="8.7265625" style="11"/>
    <col min="6" max="6" width="10.36328125" style="11" customWidth="1"/>
    <col min="7" max="16384" width="8.7265625" style="11"/>
  </cols>
  <sheetData>
    <row r="1" spans="1:13" ht="30.75" customHeight="1" x14ac:dyDescent="0.7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2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4.25" customHeight="1" x14ac:dyDescent="0.35">
      <c r="C3" s="11">
        <v>2021</v>
      </c>
      <c r="D3" s="11">
        <f>C3+1</f>
        <v>2022</v>
      </c>
      <c r="E3" s="11">
        <f>D3+1</f>
        <v>2023</v>
      </c>
      <c r="F3" s="11">
        <f>E3+1</f>
        <v>2024</v>
      </c>
      <c r="G3" s="11">
        <f>F3+1</f>
        <v>2025</v>
      </c>
    </row>
    <row r="5" spans="1:13" ht="14.25" customHeight="1" x14ac:dyDescent="0.35">
      <c r="A5" s="11" t="s">
        <v>95</v>
      </c>
      <c r="B5" s="33" t="s">
        <v>96</v>
      </c>
    </row>
    <row r="6" spans="1:13" ht="14.25" customHeight="1" x14ac:dyDescent="0.35">
      <c r="B6" s="11" t="s">
        <v>20</v>
      </c>
      <c r="C6" s="14">
        <v>2010.07</v>
      </c>
      <c r="D6" s="14">
        <v>2452.69</v>
      </c>
      <c r="E6" s="14">
        <v>2803.49</v>
      </c>
      <c r="F6" s="14">
        <v>3306.5</v>
      </c>
      <c r="G6" s="11">
        <v>3459</v>
      </c>
    </row>
    <row r="7" spans="1:13" ht="14.25" customHeight="1" x14ac:dyDescent="0.35">
      <c r="B7" s="11" t="s">
        <v>97</v>
      </c>
    </row>
    <row r="8" spans="1:13" ht="14.25" customHeight="1" x14ac:dyDescent="0.35">
      <c r="B8" s="11" t="s">
        <v>13</v>
      </c>
      <c r="C8" s="11">
        <v>435.34</v>
      </c>
      <c r="D8" s="11">
        <v>452.61</v>
      </c>
      <c r="E8" s="11">
        <v>496.78</v>
      </c>
      <c r="F8" s="11">
        <v>543.24</v>
      </c>
      <c r="G8" s="11">
        <v>583</v>
      </c>
    </row>
    <row r="9" spans="1:13" ht="14.25" customHeight="1" x14ac:dyDescent="0.35">
      <c r="B9" s="11" t="s">
        <v>98</v>
      </c>
      <c r="C9" s="11">
        <v>3.69</v>
      </c>
      <c r="D9" s="11">
        <v>-13.49</v>
      </c>
      <c r="E9" s="11">
        <v>-2.21</v>
      </c>
      <c r="F9" s="11">
        <v>-6.32</v>
      </c>
      <c r="G9" s="11">
        <v>0</v>
      </c>
    </row>
    <row r="10" spans="1:13" ht="14.25" customHeight="1" x14ac:dyDescent="0.35">
      <c r="B10" s="11" t="s">
        <v>99</v>
      </c>
    </row>
    <row r="11" spans="1:13" ht="14.25" customHeight="1" x14ac:dyDescent="0.35">
      <c r="B11" s="11" t="s">
        <v>12</v>
      </c>
      <c r="C11" s="11">
        <v>50.4</v>
      </c>
      <c r="D11" s="11">
        <v>61.26</v>
      </c>
      <c r="E11" s="11">
        <v>52.9</v>
      </c>
      <c r="F11" s="11">
        <v>27.17</v>
      </c>
      <c r="G11" s="11">
        <v>30</v>
      </c>
    </row>
    <row r="12" spans="1:13" ht="14.25" customHeight="1" x14ac:dyDescent="0.35">
      <c r="B12" s="11" t="s">
        <v>100</v>
      </c>
      <c r="C12" s="11">
        <v>-195.76</v>
      </c>
      <c r="D12" s="11">
        <v>-193.8</v>
      </c>
      <c r="E12" s="11">
        <v>-163.27000000000001</v>
      </c>
      <c r="F12" s="11">
        <v>-239.47</v>
      </c>
      <c r="G12" s="11">
        <v>-199</v>
      </c>
    </row>
    <row r="13" spans="1:13" ht="14.25" customHeight="1" x14ac:dyDescent="0.35">
      <c r="B13" s="11" t="s">
        <v>101</v>
      </c>
      <c r="C13" s="11">
        <v>5.64</v>
      </c>
      <c r="D13" s="11">
        <v>3.14</v>
      </c>
      <c r="E13" s="11">
        <v>-2.72</v>
      </c>
      <c r="F13" s="11">
        <v>1.4</v>
      </c>
      <c r="G13" s="11">
        <v>-88</v>
      </c>
    </row>
    <row r="14" spans="1:13" ht="14.25" customHeight="1" x14ac:dyDescent="0.35">
      <c r="B14" s="11" t="s">
        <v>102</v>
      </c>
    </row>
    <row r="15" spans="1:13" ht="14.25" customHeight="1" x14ac:dyDescent="0.35">
      <c r="B15" s="11" t="s">
        <v>103</v>
      </c>
      <c r="C15" s="11">
        <v>-3.77</v>
      </c>
      <c r="D15" s="11">
        <v>-14.42</v>
      </c>
      <c r="E15" s="11">
        <v>-3.45</v>
      </c>
      <c r="F15" s="11">
        <v>0</v>
      </c>
      <c r="G15" s="11">
        <v>-1</v>
      </c>
    </row>
    <row r="16" spans="1:13" ht="14.25" customHeight="1" x14ac:dyDescent="0.35">
      <c r="B16" s="11" t="s">
        <v>104</v>
      </c>
      <c r="C16" s="11">
        <v>-11.91</v>
      </c>
      <c r="D16" s="11">
        <v>-18.93</v>
      </c>
      <c r="E16" s="11">
        <v>8.61</v>
      </c>
      <c r="F16" s="11">
        <v>4.78</v>
      </c>
      <c r="G16" s="11">
        <v>0</v>
      </c>
    </row>
    <row r="17" spans="2:7" ht="14.25" customHeight="1" x14ac:dyDescent="0.35">
      <c r="B17" s="11" t="s">
        <v>105</v>
      </c>
      <c r="C17" s="11">
        <v>30.86</v>
      </c>
      <c r="D17" s="11">
        <v>-41.64</v>
      </c>
      <c r="E17" s="11">
        <v>-55.49</v>
      </c>
      <c r="F17" s="11">
        <v>71.89</v>
      </c>
      <c r="G17" s="11">
        <v>0</v>
      </c>
    </row>
    <row r="18" spans="2:7" ht="14.25" customHeight="1" x14ac:dyDescent="0.35">
      <c r="B18" s="11" t="s">
        <v>106</v>
      </c>
      <c r="C18" s="11">
        <v>-64.2</v>
      </c>
      <c r="D18" s="11">
        <v>-78.23</v>
      </c>
      <c r="E18" s="11">
        <v>-94.1</v>
      </c>
      <c r="F18" s="11">
        <v>-134.06</v>
      </c>
      <c r="G18" s="11">
        <v>-105</v>
      </c>
    </row>
    <row r="19" spans="2:7" ht="14.25" customHeight="1" x14ac:dyDescent="0.35">
      <c r="B19" s="17"/>
      <c r="C19" s="17">
        <f>SUM(C8:C18)</f>
        <v>250.28999999999996</v>
      </c>
      <c r="D19" s="17">
        <f>SUM(D8:D18)</f>
        <v>156.49999999999994</v>
      </c>
      <c r="E19" s="17">
        <f>SUM(E8:E18)</f>
        <v>237.05000000000004</v>
      </c>
      <c r="F19" s="17">
        <f>SUM(F8:F18)</f>
        <v>268.62999999999982</v>
      </c>
      <c r="G19" s="17">
        <f>SUM(G8:G18)</f>
        <v>220</v>
      </c>
    </row>
    <row r="20" spans="2:7" ht="15" customHeight="1" x14ac:dyDescent="0.35">
      <c r="B20" s="34" t="s">
        <v>107</v>
      </c>
      <c r="C20" s="35">
        <v>2260.36</v>
      </c>
      <c r="D20" s="35">
        <v>2609.19</v>
      </c>
      <c r="E20" s="35">
        <v>3040.54</v>
      </c>
      <c r="F20" s="35">
        <v>3575.13</v>
      </c>
      <c r="G20" s="34">
        <f>G6+G19</f>
        <v>3679</v>
      </c>
    </row>
    <row r="21" spans="2:7" ht="15" customHeight="1" x14ac:dyDescent="0.35">
      <c r="B21" s="11" t="s">
        <v>108</v>
      </c>
    </row>
    <row r="22" spans="2:7" ht="14.25" customHeight="1" x14ac:dyDescent="0.35">
      <c r="B22" s="11" t="s">
        <v>109</v>
      </c>
    </row>
    <row r="23" spans="2:7" ht="14.25" customHeight="1" x14ac:dyDescent="0.35">
      <c r="B23" s="11" t="s">
        <v>56</v>
      </c>
      <c r="C23" s="11">
        <v>-622.09</v>
      </c>
      <c r="D23" s="14">
        <v>-1380.05</v>
      </c>
      <c r="E23" s="11">
        <v>-815.45</v>
      </c>
      <c r="F23" s="11">
        <v>-1.89</v>
      </c>
      <c r="G23" s="11">
        <v>-1432</v>
      </c>
    </row>
    <row r="24" spans="2:7" ht="14.25" customHeight="1" x14ac:dyDescent="0.35">
      <c r="B24" s="11" t="s">
        <v>110</v>
      </c>
      <c r="C24" s="11">
        <v>-103.69</v>
      </c>
      <c r="D24" s="14">
        <v>-1138.18</v>
      </c>
      <c r="E24" s="11">
        <v>-789.75</v>
      </c>
      <c r="F24" s="14">
        <v>-1642.3</v>
      </c>
      <c r="G24" s="11">
        <v>-2115</v>
      </c>
    </row>
    <row r="25" spans="2:7" ht="14.25" customHeight="1" x14ac:dyDescent="0.35">
      <c r="B25" s="11" t="s">
        <v>111</v>
      </c>
      <c r="C25" s="11">
        <v>-48.73</v>
      </c>
      <c r="D25" s="11">
        <v>-19.88</v>
      </c>
      <c r="E25" s="11">
        <v>28.66</v>
      </c>
      <c r="F25" s="11">
        <v>-31.32</v>
      </c>
      <c r="G25" s="11">
        <v>0</v>
      </c>
    </row>
    <row r="26" spans="2:7" ht="14.25" customHeight="1" x14ac:dyDescent="0.35">
      <c r="B26" s="11" t="s">
        <v>112</v>
      </c>
      <c r="C26" s="11">
        <v>-0.62</v>
      </c>
      <c r="D26" s="11">
        <v>-7.63</v>
      </c>
      <c r="E26" s="11">
        <v>-46.75</v>
      </c>
      <c r="F26" s="11">
        <v>-6.97</v>
      </c>
      <c r="G26" s="11">
        <v>0</v>
      </c>
    </row>
    <row r="27" spans="2:7" ht="14.25" customHeight="1" x14ac:dyDescent="0.35">
      <c r="B27" s="11" t="s">
        <v>113</v>
      </c>
      <c r="C27" s="11">
        <v>-256.27999999999997</v>
      </c>
      <c r="D27" s="11">
        <v>166.28</v>
      </c>
      <c r="E27" s="11">
        <v>-83.95</v>
      </c>
      <c r="F27" s="11">
        <v>-287.64</v>
      </c>
      <c r="G27" s="11">
        <v>-423</v>
      </c>
    </row>
    <row r="28" spans="2:7" ht="14.25" customHeight="1" x14ac:dyDescent="0.35">
      <c r="B28" s="11" t="s">
        <v>114</v>
      </c>
    </row>
    <row r="29" spans="2:7" ht="14.25" customHeight="1" x14ac:dyDescent="0.35">
      <c r="B29" s="11" t="s">
        <v>115</v>
      </c>
      <c r="C29" s="11">
        <v>183.62</v>
      </c>
      <c r="D29" s="11">
        <v>349.05</v>
      </c>
      <c r="E29" s="11">
        <v>301.27999999999997</v>
      </c>
      <c r="F29" s="11">
        <v>319.60000000000002</v>
      </c>
      <c r="G29" s="11">
        <v>722</v>
      </c>
    </row>
    <row r="30" spans="2:7" ht="14.25" customHeight="1" x14ac:dyDescent="0.35">
      <c r="B30" s="11" t="s">
        <v>116</v>
      </c>
      <c r="C30" s="11">
        <v>47.76</v>
      </c>
      <c r="D30" s="11">
        <v>-81.06</v>
      </c>
      <c r="E30" s="11">
        <v>110.27</v>
      </c>
      <c r="F30" s="11">
        <v>98.01</v>
      </c>
      <c r="G30" s="11">
        <v>0</v>
      </c>
    </row>
    <row r="31" spans="2:7" ht="14.25" customHeight="1" x14ac:dyDescent="0.35">
      <c r="B31" s="11" t="s">
        <v>117</v>
      </c>
      <c r="C31" s="11">
        <v>-192.03</v>
      </c>
      <c r="D31" s="11">
        <v>700.95</v>
      </c>
      <c r="E31" s="11">
        <v>295.86</v>
      </c>
      <c r="F31" s="11">
        <v>399.2</v>
      </c>
      <c r="G31" s="11">
        <v>1136</v>
      </c>
    </row>
    <row r="32" spans="2:7" ht="14.25" customHeight="1" x14ac:dyDescent="0.35">
      <c r="B32" s="11" t="s">
        <v>74</v>
      </c>
      <c r="C32" s="11">
        <v>119.13</v>
      </c>
      <c r="D32" s="11">
        <v>-211.94</v>
      </c>
      <c r="E32" s="11">
        <v>70.180000000000007</v>
      </c>
      <c r="F32" s="11">
        <v>117.12</v>
      </c>
      <c r="G32" s="11">
        <v>422</v>
      </c>
    </row>
    <row r="33" spans="1:11" ht="14.25" customHeight="1" x14ac:dyDescent="0.35">
      <c r="B33" s="19"/>
      <c r="C33" s="19">
        <f>SUM(C23:C32)</f>
        <v>-872.92999999999984</v>
      </c>
      <c r="D33" s="20">
        <f>SUM(D23:D32)</f>
        <v>-1622.4600000000003</v>
      </c>
      <c r="E33" s="19">
        <f>SUM(E23:E32)</f>
        <v>-929.65000000000009</v>
      </c>
      <c r="F33" s="19">
        <f>SUM(F23:F32)</f>
        <v>-1036.19</v>
      </c>
      <c r="G33" s="19">
        <f>SUM(G23:G32)</f>
        <v>-1690</v>
      </c>
    </row>
    <row r="34" spans="1:11" ht="15" customHeight="1" x14ac:dyDescent="0.35">
      <c r="B34" s="34" t="s">
        <v>118</v>
      </c>
      <c r="C34" s="35">
        <v>1387.43</v>
      </c>
      <c r="D34" s="35">
        <v>986.73</v>
      </c>
      <c r="E34" s="35">
        <v>2110.89</v>
      </c>
      <c r="F34" s="35">
        <v>2538.94</v>
      </c>
      <c r="G34" s="34">
        <f>G20+G33</f>
        <v>1989</v>
      </c>
    </row>
    <row r="35" spans="1:11" ht="15" customHeight="1" x14ac:dyDescent="0.35">
      <c r="B35" s="11" t="s">
        <v>119</v>
      </c>
      <c r="C35" s="11">
        <v>-762.57</v>
      </c>
      <c r="D35" s="11">
        <v>-604.35</v>
      </c>
      <c r="E35" s="11">
        <v>-695.92</v>
      </c>
      <c r="F35" s="11">
        <v>-667.47</v>
      </c>
      <c r="G35" s="11">
        <v>-1063</v>
      </c>
    </row>
    <row r="37" spans="1:11" ht="15" customHeight="1" x14ac:dyDescent="0.35">
      <c r="B37" s="34" t="s">
        <v>120</v>
      </c>
      <c r="C37" s="34">
        <v>624.86</v>
      </c>
      <c r="D37" s="34">
        <v>382.38</v>
      </c>
      <c r="E37" s="35">
        <v>1414.97</v>
      </c>
      <c r="F37" s="35">
        <v>1871.47</v>
      </c>
      <c r="G37" s="34">
        <f>G34+G35</f>
        <v>926</v>
      </c>
    </row>
    <row r="38" spans="1:11" ht="15" customHeight="1" x14ac:dyDescent="0.35"/>
    <row r="39" spans="1:11" ht="14.25" customHeight="1" x14ac:dyDescent="0.35">
      <c r="A39" s="11" t="s">
        <v>121</v>
      </c>
      <c r="B39" s="33" t="s">
        <v>122</v>
      </c>
    </row>
    <row r="40" spans="1:11" ht="14.25" customHeight="1" x14ac:dyDescent="0.35">
      <c r="B40" s="11" t="s">
        <v>123</v>
      </c>
    </row>
    <row r="41" spans="1:11" ht="14.25" customHeight="1" x14ac:dyDescent="0.35">
      <c r="B41" s="11" t="s">
        <v>124</v>
      </c>
      <c r="C41" s="11">
        <v>-382.19</v>
      </c>
      <c r="D41" s="14">
        <v>-1069.2</v>
      </c>
      <c r="E41" s="11">
        <v>-932.76</v>
      </c>
      <c r="F41" s="14">
        <v>-1005.5</v>
      </c>
      <c r="G41" s="11">
        <v>-936</v>
      </c>
    </row>
    <row r="42" spans="1:11" ht="14.25" customHeight="1" x14ac:dyDescent="0.35">
      <c r="B42" s="11" t="s">
        <v>125</v>
      </c>
    </row>
    <row r="43" spans="1:11" ht="14.25" customHeight="1" x14ac:dyDescent="0.35">
      <c r="B43" s="11" t="s">
        <v>126</v>
      </c>
      <c r="C43" s="11">
        <v>6.58</v>
      </c>
      <c r="D43" s="11">
        <v>15.72</v>
      </c>
      <c r="E43" s="11">
        <v>8.34</v>
      </c>
      <c r="F43" s="11">
        <v>10.67</v>
      </c>
      <c r="G43" s="11">
        <v>8</v>
      </c>
    </row>
    <row r="44" spans="1:11" ht="14.25" customHeight="1" x14ac:dyDescent="0.35">
      <c r="B44" s="11" t="s">
        <v>127</v>
      </c>
      <c r="C44" s="14">
        <v>-8411.75</v>
      </c>
      <c r="D44" s="14">
        <v>-11525.43</v>
      </c>
      <c r="E44" s="14">
        <v>-3098.26</v>
      </c>
      <c r="F44" s="14">
        <v>-2589.1999999999998</v>
      </c>
      <c r="G44" s="11">
        <v>0</v>
      </c>
    </row>
    <row r="45" spans="1:11" ht="14.25" customHeight="1" x14ac:dyDescent="0.35">
      <c r="B45" s="11" t="s">
        <v>128</v>
      </c>
      <c r="C45" s="14">
        <v>8597.07</v>
      </c>
      <c r="D45" s="14">
        <v>12215.12</v>
      </c>
      <c r="E45" s="14">
        <v>3838.88</v>
      </c>
      <c r="F45" s="14">
        <v>1863.91</v>
      </c>
      <c r="G45" s="11">
        <v>1105</v>
      </c>
    </row>
    <row r="46" spans="1:11" ht="14.25" customHeight="1" x14ac:dyDescent="0.35">
      <c r="B46" s="11" t="s">
        <v>129</v>
      </c>
      <c r="C46" s="11">
        <v>191.72</v>
      </c>
      <c r="D46" s="11">
        <v>204.14</v>
      </c>
      <c r="E46" s="11">
        <v>189.8</v>
      </c>
      <c r="F46" s="11">
        <v>208.52</v>
      </c>
      <c r="G46" s="11">
        <v>253</v>
      </c>
    </row>
    <row r="47" spans="1:11" ht="14.25" customHeight="1" x14ac:dyDescent="0.35">
      <c r="B47" s="11" t="s">
        <v>130</v>
      </c>
      <c r="C47" s="11">
        <v>26.83</v>
      </c>
      <c r="D47" s="11">
        <v>32.340000000000003</v>
      </c>
      <c r="E47" s="11">
        <v>39.32</v>
      </c>
      <c r="F47" s="11">
        <v>47.41</v>
      </c>
      <c r="G47" s="11">
        <v>67</v>
      </c>
    </row>
    <row r="48" spans="1:11" ht="15" customHeight="1" x14ac:dyDescent="0.35">
      <c r="B48" s="34" t="s">
        <v>131</v>
      </c>
      <c r="C48" s="34">
        <v>28.26</v>
      </c>
      <c r="D48" s="34">
        <v>-127.31</v>
      </c>
      <c r="E48" s="34">
        <v>45.32</v>
      </c>
      <c r="F48" s="34">
        <v>-1464.19</v>
      </c>
      <c r="G48" s="34">
        <f>SUM(G41:G47)</f>
        <v>497</v>
      </c>
      <c r="H48" s="14"/>
      <c r="I48" s="14"/>
      <c r="K48" s="14"/>
    </row>
    <row r="49" spans="1:7" ht="15" customHeight="1" x14ac:dyDescent="0.35"/>
    <row r="51" spans="1:7" ht="14.25" customHeight="1" x14ac:dyDescent="0.35">
      <c r="A51" s="11" t="s">
        <v>132</v>
      </c>
      <c r="B51" s="11" t="s">
        <v>133</v>
      </c>
    </row>
    <row r="52" spans="1:7" ht="14.25" customHeight="1" x14ac:dyDescent="0.35">
      <c r="B52" s="11" t="s">
        <v>134</v>
      </c>
      <c r="C52" s="11">
        <v>800</v>
      </c>
      <c r="D52" s="11">
        <v>580</v>
      </c>
      <c r="E52" s="11">
        <v>400</v>
      </c>
      <c r="F52" s="11">
        <v>500</v>
      </c>
      <c r="G52" s="11">
        <v>0</v>
      </c>
    </row>
    <row r="53" spans="1:7" ht="14.25" customHeight="1" x14ac:dyDescent="0.35">
      <c r="B53" s="11" t="s">
        <v>135</v>
      </c>
      <c r="C53" s="14">
        <v>-1400</v>
      </c>
      <c r="D53" s="11">
        <v>-580</v>
      </c>
      <c r="E53" s="11">
        <v>-400</v>
      </c>
      <c r="F53" s="11">
        <v>-500</v>
      </c>
      <c r="G53" s="11">
        <v>0</v>
      </c>
    </row>
    <row r="54" spans="1:7" ht="14.25" customHeight="1" x14ac:dyDescent="0.35">
      <c r="B54" s="11" t="s">
        <v>136</v>
      </c>
      <c r="C54" s="11">
        <v>-47.69</v>
      </c>
      <c r="D54" s="11">
        <v>-58.39</v>
      </c>
      <c r="E54" s="11">
        <v>-49.92</v>
      </c>
      <c r="F54" s="11">
        <v>-23.87</v>
      </c>
      <c r="G54" s="11">
        <v>-14</v>
      </c>
    </row>
    <row r="55" spans="1:7" ht="14.25" customHeight="1" x14ac:dyDescent="0.35">
      <c r="B55" s="11" t="s">
        <v>137</v>
      </c>
      <c r="C55" s="11">
        <v>-10.65</v>
      </c>
      <c r="D55" s="11">
        <v>-12.13</v>
      </c>
      <c r="E55" s="11">
        <v>-13.15</v>
      </c>
      <c r="F55" s="11">
        <v>-15.07</v>
      </c>
      <c r="G55" s="11">
        <v>-11</v>
      </c>
    </row>
    <row r="56" spans="1:7" ht="14.25" customHeight="1" x14ac:dyDescent="0.35">
      <c r="B56" s="11" t="s">
        <v>138</v>
      </c>
      <c r="C56" s="11">
        <v>-295.87</v>
      </c>
      <c r="D56" s="11">
        <v>-435.1</v>
      </c>
      <c r="E56" s="11">
        <v>-522.12</v>
      </c>
      <c r="F56" s="11">
        <v>-609.14</v>
      </c>
      <c r="G56" s="11">
        <v>-696</v>
      </c>
    </row>
    <row r="57" spans="1:7" ht="14.25" customHeight="1" x14ac:dyDescent="0.35">
      <c r="B57" s="36" t="s">
        <v>139</v>
      </c>
      <c r="C57" s="37">
        <v>-954.21</v>
      </c>
      <c r="D57" s="36">
        <v>-505.62</v>
      </c>
      <c r="E57" s="37">
        <v>-585.19000000000005</v>
      </c>
      <c r="F57" s="36">
        <v>-648.08000000000004</v>
      </c>
      <c r="G57" s="36">
        <v>-721</v>
      </c>
    </row>
    <row r="58" spans="1:7" ht="15" customHeight="1" x14ac:dyDescent="0.35">
      <c r="B58" s="34" t="s">
        <v>140</v>
      </c>
      <c r="C58" s="34">
        <v>-301.08999999999997</v>
      </c>
      <c r="D58" s="34">
        <v>-250.55</v>
      </c>
      <c r="E58" s="34">
        <v>875.1</v>
      </c>
      <c r="F58" s="34">
        <v>-240.8</v>
      </c>
      <c r="G58" s="34">
        <v>702</v>
      </c>
    </row>
    <row r="59" spans="1:7" ht="15" customHeight="1" x14ac:dyDescent="0.35"/>
    <row r="60" spans="1:7" ht="14.25" customHeight="1" x14ac:dyDescent="0.35">
      <c r="B60" s="11" t="s">
        <v>141</v>
      </c>
      <c r="C60" s="11">
        <v>870.68</v>
      </c>
      <c r="D60" s="11">
        <v>565.65</v>
      </c>
      <c r="E60" s="11">
        <v>319.54000000000002</v>
      </c>
      <c r="F60" s="14">
        <v>1195.28</v>
      </c>
      <c r="G60" s="11">
        <v>959</v>
      </c>
    </row>
    <row r="61" spans="1:7" ht="14.25" customHeight="1" x14ac:dyDescent="0.35">
      <c r="B61" s="11" t="s">
        <v>142</v>
      </c>
      <c r="C61" s="11">
        <v>-3.94</v>
      </c>
      <c r="D61" s="11">
        <v>4.4400000000000004</v>
      </c>
      <c r="E61" s="11">
        <v>0.64</v>
      </c>
      <c r="F61" s="11">
        <v>4.53</v>
      </c>
      <c r="G61" s="11">
        <v>7</v>
      </c>
    </row>
    <row r="62" spans="1:7" ht="15" customHeight="1" x14ac:dyDescent="0.35">
      <c r="B62" s="34" t="s">
        <v>143</v>
      </c>
      <c r="C62" s="34">
        <v>565.65</v>
      </c>
      <c r="D62" s="34">
        <v>319.54000000000002</v>
      </c>
      <c r="E62" s="35">
        <v>1195.28</v>
      </c>
      <c r="F62" s="34">
        <v>959.01</v>
      </c>
      <c r="G62" s="34">
        <v>1668</v>
      </c>
    </row>
    <row r="63" spans="1:7" ht="1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24"/>
  <sheetViews>
    <sheetView showGridLines="0" zoomScale="72" zoomScaleNormal="72" workbookViewId="0">
      <pane ySplit="3" topLeftCell="A106" activePane="bottomLeft" state="frozen"/>
      <selection pane="bottomLeft" activeCell="I13" sqref="I13"/>
    </sheetView>
  </sheetViews>
  <sheetFormatPr defaultColWidth="11.6328125" defaultRowHeight="14.5" outlineLevelRow="1" x14ac:dyDescent="0.35"/>
  <cols>
    <col min="1" max="3" width="1.26953125" style="11" customWidth="1"/>
    <col min="4" max="4" width="40.6328125" style="11" customWidth="1"/>
    <col min="5" max="6" width="12.6328125" style="11" customWidth="1"/>
    <col min="7" max="7" width="2.6328125" style="11" customWidth="1"/>
    <col min="8" max="14" width="12.26953125" style="11" customWidth="1"/>
    <col min="15" max="16384" width="11.6328125" style="11"/>
  </cols>
  <sheetData>
    <row r="1" spans="1:17" ht="33" customHeight="1" x14ac:dyDescent="0.7">
      <c r="A1" s="22" t="s">
        <v>0</v>
      </c>
      <c r="B1" s="23"/>
      <c r="C1" s="23"/>
      <c r="D1" s="23"/>
      <c r="E1" s="24"/>
      <c r="F1" s="10" t="s">
        <v>144</v>
      </c>
      <c r="G1" s="10"/>
      <c r="H1" s="10"/>
      <c r="I1" s="10"/>
      <c r="J1" s="10"/>
      <c r="K1" s="10"/>
      <c r="L1" s="38"/>
      <c r="M1" s="9" t="s">
        <v>145</v>
      </c>
      <c r="N1" s="9"/>
      <c r="O1" s="9"/>
      <c r="P1" s="9"/>
      <c r="Q1" s="9"/>
    </row>
    <row r="2" spans="1:17" ht="20.25" customHeight="1" x14ac:dyDescent="0.45">
      <c r="A2" s="40" t="s">
        <v>146</v>
      </c>
      <c r="B2" s="23"/>
      <c r="C2" s="23"/>
      <c r="D2" s="23"/>
      <c r="E2" s="24"/>
      <c r="F2" s="24"/>
      <c r="G2" s="24"/>
      <c r="H2" s="41">
        <v>2021</v>
      </c>
      <c r="I2" s="41">
        <f t="shared" ref="I2:Q2" si="0">H2+1</f>
        <v>2022</v>
      </c>
      <c r="J2" s="41">
        <f t="shared" si="0"/>
        <v>2023</v>
      </c>
      <c r="K2" s="41">
        <f t="shared" si="0"/>
        <v>2024</v>
      </c>
      <c r="L2" s="41">
        <f t="shared" si="0"/>
        <v>2025</v>
      </c>
      <c r="M2" s="42">
        <f t="shared" si="0"/>
        <v>2026</v>
      </c>
      <c r="N2" s="42">
        <f t="shared" si="0"/>
        <v>2027</v>
      </c>
      <c r="O2" s="42">
        <f t="shared" si="0"/>
        <v>2028</v>
      </c>
      <c r="P2" s="42">
        <f t="shared" si="0"/>
        <v>2029</v>
      </c>
      <c r="Q2" s="42">
        <f t="shared" si="0"/>
        <v>2030</v>
      </c>
    </row>
    <row r="3" spans="1:17" ht="20.25" customHeight="1" x14ac:dyDescent="0.45">
      <c r="A3" s="43"/>
      <c r="B3" s="44"/>
      <c r="C3" s="44"/>
      <c r="D3" s="45" t="s">
        <v>147</v>
      </c>
      <c r="E3" s="45"/>
      <c r="F3" s="45"/>
      <c r="G3" s="45"/>
      <c r="H3" s="46" t="str">
        <f t="shared" ref="H3:Q3" si="1">IF(H73&gt;1,"Error","OK")</f>
        <v>OK</v>
      </c>
      <c r="I3" s="46" t="str">
        <f t="shared" si="1"/>
        <v>OK</v>
      </c>
      <c r="J3" s="46" t="str">
        <f t="shared" si="1"/>
        <v>OK</v>
      </c>
      <c r="K3" s="46" t="str">
        <f t="shared" si="1"/>
        <v>OK</v>
      </c>
      <c r="L3" s="46" t="str">
        <f t="shared" si="1"/>
        <v>OK</v>
      </c>
      <c r="M3" s="46" t="str">
        <f t="shared" si="1"/>
        <v>OK</v>
      </c>
      <c r="N3" s="46" t="str">
        <f t="shared" si="1"/>
        <v>OK</v>
      </c>
      <c r="O3" s="46" t="str">
        <f t="shared" si="1"/>
        <v>OK</v>
      </c>
      <c r="P3" s="46" t="str">
        <f t="shared" si="1"/>
        <v>OK</v>
      </c>
      <c r="Q3" s="46" t="str">
        <f t="shared" si="1"/>
        <v>OK</v>
      </c>
    </row>
    <row r="4" spans="1:17" ht="20.25" customHeight="1" x14ac:dyDescent="0.45">
      <c r="A4" s="43"/>
      <c r="B4" s="44"/>
      <c r="C4" s="44"/>
      <c r="D4" s="45"/>
      <c r="E4" s="45"/>
      <c r="F4" s="45"/>
      <c r="G4" s="45"/>
      <c r="H4" s="47"/>
      <c r="I4" s="47"/>
      <c r="J4" s="47"/>
      <c r="K4" s="47"/>
      <c r="L4" s="47"/>
      <c r="M4" s="48"/>
      <c r="N4" s="48"/>
      <c r="O4" s="48"/>
      <c r="P4" s="48"/>
      <c r="Q4" s="48"/>
    </row>
    <row r="5" spans="1:17" ht="20.25" customHeight="1" x14ac:dyDescent="0.45">
      <c r="A5" s="49" t="s">
        <v>148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ht="20.25" customHeight="1" x14ac:dyDescent="0.45">
      <c r="A6" s="43"/>
      <c r="B6" s="44"/>
      <c r="C6" s="44"/>
      <c r="D6" s="45"/>
      <c r="E6" s="45"/>
      <c r="F6" s="45"/>
      <c r="G6" s="45"/>
      <c r="H6" s="47"/>
      <c r="I6" s="47"/>
      <c r="J6" s="47"/>
      <c r="K6" s="47"/>
      <c r="L6" s="47"/>
      <c r="M6" s="48"/>
      <c r="N6" s="48"/>
      <c r="O6" s="48"/>
      <c r="P6" s="48"/>
      <c r="Q6" s="48"/>
    </row>
    <row r="7" spans="1:17" ht="15" customHeight="1" x14ac:dyDescent="0.35">
      <c r="A7" s="50"/>
      <c r="B7" s="50"/>
      <c r="C7" s="50"/>
      <c r="D7" s="51" t="s">
        <v>89</v>
      </c>
      <c r="E7" s="52" t="s">
        <v>91</v>
      </c>
      <c r="F7" s="51" t="s">
        <v>149</v>
      </c>
      <c r="G7" s="53">
        <f>IF(E7=Scenario!B5,1,IF(Model!E7=Scenario!B6,2,3))</f>
        <v>1</v>
      </c>
      <c r="H7" s="51"/>
      <c r="I7" s="51"/>
      <c r="J7" s="51"/>
      <c r="K7" s="51"/>
      <c r="L7" s="51"/>
      <c r="M7" s="48"/>
      <c r="N7" s="48"/>
      <c r="O7" s="48"/>
      <c r="P7" s="48"/>
      <c r="Q7" s="48"/>
    </row>
    <row r="8" spans="1:17" ht="15" customHeight="1" x14ac:dyDescent="0.35">
      <c r="A8" s="50"/>
      <c r="B8" s="50"/>
      <c r="C8" s="50"/>
      <c r="D8" s="51" t="s">
        <v>150</v>
      </c>
      <c r="E8" s="51"/>
      <c r="F8" s="51" t="s">
        <v>151</v>
      </c>
      <c r="G8" s="54"/>
      <c r="H8" s="54" t="s">
        <v>152</v>
      </c>
      <c r="I8" s="54">
        <f>I25/H25-1</f>
        <v>0.21683760872135061</v>
      </c>
      <c r="J8" s="54">
        <f>J25/I25-1</f>
        <v>0.23341785769171675</v>
      </c>
      <c r="K8" s="54">
        <f>K25/J25-1</f>
        <v>0.12719970025426774</v>
      </c>
      <c r="L8" s="54">
        <f>L25/K25-1</f>
        <v>6.4196004399376783E-2</v>
      </c>
      <c r="M8" s="54">
        <f t="array" ref="M8:Q8">CHOOSE(G7,Scenario!F5:J5,Scenario!F6:J6,Scenario!F7:J7)</f>
        <v>0.08</v>
      </c>
      <c r="N8" s="54">
        <v>6.8000000000000005E-2</v>
      </c>
      <c r="O8" s="54">
        <v>5.7800000000000004E-2</v>
      </c>
      <c r="P8" s="54">
        <v>4.913E-2</v>
      </c>
      <c r="Q8" s="54">
        <v>4.1760499999999999E-2</v>
      </c>
    </row>
    <row r="9" spans="1:17" ht="15" customHeight="1" x14ac:dyDescent="0.35">
      <c r="A9" s="50"/>
      <c r="B9" s="50"/>
      <c r="C9" s="50"/>
      <c r="D9" s="51" t="s">
        <v>153</v>
      </c>
      <c r="E9" s="51"/>
      <c r="F9" s="51" t="s">
        <v>151</v>
      </c>
      <c r="G9" s="54"/>
      <c r="H9" s="54">
        <f>-(H26/H25)</f>
        <v>0.52923913921876253</v>
      </c>
      <c r="I9" s="54">
        <f>-(I26/I25)</f>
        <v>0.54227370524051033</v>
      </c>
      <c r="J9" s="54">
        <f>-(J26/J25)</f>
        <v>0.56848006308188082</v>
      </c>
      <c r="K9" s="54">
        <f>-(K26/K25)</f>
        <v>0.5614274446268307</v>
      </c>
      <c r="L9" s="54">
        <f>-(L26/L25)</f>
        <v>0.54023073784174802</v>
      </c>
      <c r="M9" s="54">
        <f>AVERAGE(H9:L9)</f>
        <v>0.54833021800194648</v>
      </c>
      <c r="N9" s="54">
        <f t="shared" ref="N9:Q12" si="2">M9</f>
        <v>0.54833021800194648</v>
      </c>
      <c r="O9" s="54">
        <f t="shared" si="2"/>
        <v>0.54833021800194648</v>
      </c>
      <c r="P9" s="54">
        <f t="shared" si="2"/>
        <v>0.54833021800194648</v>
      </c>
      <c r="Q9" s="54">
        <f t="shared" si="2"/>
        <v>0.54833021800194648</v>
      </c>
    </row>
    <row r="10" spans="1:17" ht="15" customHeight="1" x14ac:dyDescent="0.35">
      <c r="A10" s="50"/>
      <c r="B10" s="50"/>
      <c r="C10" s="50"/>
      <c r="D10" s="51" t="s">
        <v>154</v>
      </c>
      <c r="E10" s="51"/>
      <c r="F10" s="51" t="s">
        <v>151</v>
      </c>
      <c r="G10" s="54"/>
      <c r="H10" s="54">
        <f>-(H29/H25)</f>
        <v>0.14384311399721231</v>
      </c>
      <c r="I10" s="54">
        <f>-(I29/I25)</f>
        <v>0.13386517815978397</v>
      </c>
      <c r="J10" s="54">
        <f>-(J29/J25)</f>
        <v>0.12000642566563932</v>
      </c>
      <c r="K10" s="54">
        <f>-(K29/K25)</f>
        <v>0.12376958381989399</v>
      </c>
      <c r="L10" s="54">
        <f>-(L29/L25)</f>
        <v>0.13514115072151947</v>
      </c>
      <c r="M10" s="54">
        <f>AVERAGE(H10:L10)</f>
        <v>0.1313250904728098</v>
      </c>
      <c r="N10" s="54">
        <f t="shared" si="2"/>
        <v>0.1313250904728098</v>
      </c>
      <c r="O10" s="54">
        <f t="shared" si="2"/>
        <v>0.1313250904728098</v>
      </c>
      <c r="P10" s="54">
        <f t="shared" si="2"/>
        <v>0.1313250904728098</v>
      </c>
      <c r="Q10" s="54">
        <f t="shared" si="2"/>
        <v>0.1313250904728098</v>
      </c>
    </row>
    <row r="11" spans="1:17" ht="15" customHeight="1" x14ac:dyDescent="0.35">
      <c r="A11" s="50"/>
      <c r="B11" s="50"/>
      <c r="C11" s="50"/>
      <c r="D11" s="51" t="s">
        <v>155</v>
      </c>
      <c r="E11" s="51"/>
      <c r="F11" s="51" t="s">
        <v>151</v>
      </c>
      <c r="G11" s="54"/>
      <c r="H11" s="54">
        <f>-H30/H25</f>
        <v>0.18702042555521939</v>
      </c>
      <c r="I11" s="54">
        <f>-I30/I25</f>
        <v>0.18848547717842326</v>
      </c>
      <c r="J11" s="54">
        <f>-J30/J25</f>
        <v>0.1808775928495335</v>
      </c>
      <c r="K11" s="54">
        <f>-K30/K25</f>
        <v>0.1815528568710261</v>
      </c>
      <c r="L11" s="54">
        <f>-L30/L25</f>
        <v>0.18607411803984122</v>
      </c>
      <c r="M11" s="54">
        <f>AVERAGE(H11:L11)</f>
        <v>0.18480209409880868</v>
      </c>
      <c r="N11" s="54">
        <f t="shared" si="2"/>
        <v>0.18480209409880868</v>
      </c>
      <c r="O11" s="54">
        <f t="shared" si="2"/>
        <v>0.18480209409880868</v>
      </c>
      <c r="P11" s="54">
        <f t="shared" si="2"/>
        <v>0.18480209409880868</v>
      </c>
      <c r="Q11" s="54">
        <f t="shared" si="2"/>
        <v>0.18480209409880868</v>
      </c>
    </row>
    <row r="12" spans="1:17" ht="15" customHeight="1" x14ac:dyDescent="0.35">
      <c r="A12" s="50"/>
      <c r="B12" s="50"/>
      <c r="C12" s="50"/>
      <c r="D12" s="51" t="s">
        <v>156</v>
      </c>
      <c r="E12" s="51"/>
      <c r="F12" s="51" t="s">
        <v>151</v>
      </c>
      <c r="G12" s="54"/>
      <c r="H12" s="54"/>
      <c r="I12" s="54">
        <f>-I32/I118</f>
        <v>0.12938627209394735</v>
      </c>
      <c r="J12" s="54">
        <f>-J32/J118</f>
        <v>0.13239699376365865</v>
      </c>
      <c r="K12" s="54">
        <f>-K32/K118</f>
        <v>0.12034852422190175</v>
      </c>
      <c r="L12" s="54">
        <f>-L32/L118</f>
        <v>0.11822680077871513</v>
      </c>
      <c r="M12" s="54">
        <f>AVERAGE(H12:L12)</f>
        <v>0.12508964771455572</v>
      </c>
      <c r="N12" s="54">
        <f t="shared" si="2"/>
        <v>0.12508964771455572</v>
      </c>
      <c r="O12" s="54">
        <f t="shared" si="2"/>
        <v>0.12508964771455572</v>
      </c>
      <c r="P12" s="54">
        <f t="shared" si="2"/>
        <v>0.12508964771455572</v>
      </c>
      <c r="Q12" s="54">
        <f t="shared" si="2"/>
        <v>0.12508964771455572</v>
      </c>
    </row>
    <row r="13" spans="1:17" ht="15" customHeight="1" x14ac:dyDescent="0.35">
      <c r="A13" s="50"/>
      <c r="B13" s="50"/>
      <c r="C13" s="50"/>
      <c r="D13" s="51" t="s">
        <v>157</v>
      </c>
      <c r="E13" s="51"/>
      <c r="F13" s="51" t="s">
        <v>151</v>
      </c>
      <c r="G13" s="54"/>
      <c r="H13" s="54"/>
      <c r="I13" s="54">
        <f>-I34/I124</f>
        <v>2.0495148879223821</v>
      </c>
      <c r="J13" s="54">
        <f>-J34/J124</f>
        <v>1.835530881332408</v>
      </c>
      <c r="K13" s="54">
        <f>-K34/K124</f>
        <v>0.83961681087762674</v>
      </c>
      <c r="L13" s="54">
        <f>-L34/L124</f>
        <v>0.87310826542491271</v>
      </c>
      <c r="M13" s="55">
        <v>7.0000000000000007E-2</v>
      </c>
      <c r="N13" s="55">
        <v>7.0000000000000007E-2</v>
      </c>
      <c r="O13" s="55">
        <v>7.0000000000000007E-2</v>
      </c>
      <c r="P13" s="55">
        <v>7.0000000000000007E-2</v>
      </c>
      <c r="Q13" s="55">
        <v>7.0000000000000007E-2</v>
      </c>
    </row>
    <row r="14" spans="1:17" ht="15" customHeight="1" x14ac:dyDescent="0.35">
      <c r="A14" s="50"/>
      <c r="B14" s="50"/>
      <c r="C14" s="50"/>
      <c r="D14" s="51" t="s">
        <v>158</v>
      </c>
      <c r="E14" s="51"/>
      <c r="F14" s="51" t="s">
        <v>151</v>
      </c>
      <c r="G14" s="54"/>
      <c r="H14" s="54">
        <f>H35/H25</f>
        <v>2.6791051305324082E-2</v>
      </c>
      <c r="I14" s="54">
        <f>I35/I25</f>
        <v>2.744681551735494E-2</v>
      </c>
      <c r="J14" s="54">
        <f>J35/J25</f>
        <v>1.8577026554374747E-2</v>
      </c>
      <c r="K14" s="54">
        <f>K35/K25</f>
        <v>1.9800748967859758E-2</v>
      </c>
      <c r="L14" s="54">
        <f>L35/L25</f>
        <v>1.2501391104351374E-2</v>
      </c>
      <c r="M14" s="54">
        <f>AVERAGE(H14:L14)</f>
        <v>2.1023406689852982E-2</v>
      </c>
      <c r="N14" s="54">
        <f t="shared" ref="N14:Q16" si="3">M14</f>
        <v>2.1023406689852982E-2</v>
      </c>
      <c r="O14" s="54">
        <f t="shared" si="3"/>
        <v>2.1023406689852982E-2</v>
      </c>
      <c r="P14" s="54">
        <f t="shared" si="3"/>
        <v>2.1023406689852982E-2</v>
      </c>
      <c r="Q14" s="54">
        <f t="shared" si="3"/>
        <v>2.1023406689852982E-2</v>
      </c>
    </row>
    <row r="15" spans="1:17" ht="15" customHeight="1" x14ac:dyDescent="0.35">
      <c r="A15" s="50"/>
      <c r="B15" s="50"/>
      <c r="C15" s="50"/>
      <c r="D15" s="51" t="s">
        <v>159</v>
      </c>
      <c r="E15" s="51"/>
      <c r="F15" s="51" t="s">
        <v>151</v>
      </c>
      <c r="G15" s="54"/>
      <c r="H15" s="54">
        <f>-H37/H36</f>
        <v>0.25679702696921008</v>
      </c>
      <c r="I15" s="54">
        <f>-I37/I36</f>
        <v>0.25493641675058826</v>
      </c>
      <c r="J15" s="54">
        <f>-J37/J36</f>
        <v>0.25545302462288055</v>
      </c>
      <c r="K15" s="54">
        <f>-K37/K36</f>
        <v>0.25154997731740514</v>
      </c>
      <c r="L15" s="54">
        <f>-L37/L36</f>
        <v>0.26019080659150046</v>
      </c>
      <c r="M15" s="54">
        <f>AVERAGE(H15:L15)</f>
        <v>0.25578545045031686</v>
      </c>
      <c r="N15" s="54">
        <f t="shared" si="3"/>
        <v>0.25578545045031686</v>
      </c>
      <c r="O15" s="54">
        <f t="shared" si="3"/>
        <v>0.25578545045031686</v>
      </c>
      <c r="P15" s="54">
        <f t="shared" si="3"/>
        <v>0.25578545045031686</v>
      </c>
      <c r="Q15" s="54">
        <f t="shared" si="3"/>
        <v>0.25578545045031686</v>
      </c>
    </row>
    <row r="16" spans="1:17" ht="15" customHeight="1" x14ac:dyDescent="0.35">
      <c r="A16" s="50"/>
      <c r="B16" s="50"/>
      <c r="C16" s="50"/>
      <c r="D16" s="51" t="s">
        <v>160</v>
      </c>
      <c r="E16" s="51"/>
      <c r="F16" s="51" t="s">
        <v>151</v>
      </c>
      <c r="G16" s="54"/>
      <c r="H16" s="54">
        <f>-H98/H38</f>
        <v>0.19805340419977382</v>
      </c>
      <c r="I16" s="54">
        <f>-I98/I38</f>
        <v>0.2380965410061236</v>
      </c>
      <c r="J16" s="54">
        <f>-J98/J38</f>
        <v>0.25013773576770293</v>
      </c>
      <c r="K16" s="54">
        <f>-K98/K38</f>
        <v>0.24614203454894437</v>
      </c>
      <c r="L16" s="54">
        <f>-L98/L38</f>
        <v>0.27198124267291912</v>
      </c>
      <c r="M16" s="54">
        <f>AVERAGE(H16:L16)</f>
        <v>0.24088219163909277</v>
      </c>
      <c r="N16" s="54">
        <f t="shared" si="3"/>
        <v>0.24088219163909277</v>
      </c>
      <c r="O16" s="54">
        <f t="shared" si="3"/>
        <v>0.24088219163909277</v>
      </c>
      <c r="P16" s="54">
        <f t="shared" si="3"/>
        <v>0.24088219163909277</v>
      </c>
      <c r="Q16" s="54">
        <f t="shared" si="3"/>
        <v>0.24088219163909277</v>
      </c>
    </row>
    <row r="17" spans="1:17" ht="15" customHeight="1" x14ac:dyDescent="0.35">
      <c r="A17" s="50"/>
      <c r="B17" s="50"/>
      <c r="C17" s="50"/>
      <c r="D17" s="51" t="s">
        <v>161</v>
      </c>
      <c r="E17" s="51"/>
      <c r="F17" s="51" t="s">
        <v>162</v>
      </c>
      <c r="G17" s="51"/>
      <c r="H17" s="51">
        <f>H47/H25*365</f>
        <v>67.764913433661192</v>
      </c>
      <c r="I17" s="51">
        <f>I47/I25*365</f>
        <v>80.865301653164735</v>
      </c>
      <c r="J17" s="51">
        <f>J47/J25*365</f>
        <v>79.865788581360761</v>
      </c>
      <c r="K17" s="51">
        <f>K47/K25*365</f>
        <v>93.69979740127259</v>
      </c>
      <c r="L17" s="51">
        <f>L47/L25*365</f>
        <v>117.69039581555811</v>
      </c>
      <c r="M17" s="51">
        <v>110</v>
      </c>
      <c r="N17" s="51">
        <v>105</v>
      </c>
      <c r="O17" s="51">
        <v>100</v>
      </c>
      <c r="P17" s="51">
        <v>96</v>
      </c>
      <c r="Q17" s="51">
        <v>93</v>
      </c>
    </row>
    <row r="18" spans="1:17" ht="15" customHeight="1" x14ac:dyDescent="0.35">
      <c r="A18" s="50"/>
      <c r="B18" s="50"/>
      <c r="C18" s="50"/>
      <c r="D18" s="51" t="s">
        <v>163</v>
      </c>
      <c r="E18" s="51"/>
      <c r="F18" s="51" t="s">
        <v>162</v>
      </c>
      <c r="G18" s="51"/>
      <c r="H18" s="51">
        <f>-H48/H26*365</f>
        <v>194.87731962015332</v>
      </c>
      <c r="I18" s="51">
        <f>-I48/I26*365</f>
        <v>207.28469404383196</v>
      </c>
      <c r="J18" s="51">
        <f>-J48/J26*365</f>
        <v>183.60827703892733</v>
      </c>
      <c r="K18" s="51">
        <f>-K48/K26*365</f>
        <v>164.98357058075692</v>
      </c>
      <c r="L18" s="51">
        <f>-L48/L26*365</f>
        <v>197.02430817825999</v>
      </c>
      <c r="M18" s="51">
        <f>AVERAGE(H18:L18)</f>
        <v>189.55563389238588</v>
      </c>
      <c r="N18" s="51">
        <f t="shared" ref="N18:Q19" si="4">M18</f>
        <v>189.55563389238588</v>
      </c>
      <c r="O18" s="51">
        <f t="shared" si="4"/>
        <v>189.55563389238588</v>
      </c>
      <c r="P18" s="51">
        <f t="shared" si="4"/>
        <v>189.55563389238588</v>
      </c>
      <c r="Q18" s="51">
        <f t="shared" si="4"/>
        <v>189.55563389238588</v>
      </c>
    </row>
    <row r="19" spans="1:17" ht="15" customHeight="1" x14ac:dyDescent="0.35">
      <c r="A19" s="50"/>
      <c r="B19" s="50"/>
      <c r="C19" s="50"/>
      <c r="D19" s="51" t="s">
        <v>164</v>
      </c>
      <c r="E19" s="51"/>
      <c r="F19" s="51" t="s">
        <v>162</v>
      </c>
      <c r="G19" s="51"/>
      <c r="H19" s="51">
        <f>-H60/H26*365</f>
        <v>128.58197936713253</v>
      </c>
      <c r="I19" s="51">
        <f>-I60/I26*365</f>
        <v>116.10054544479206</v>
      </c>
      <c r="J19" s="51">
        <f>-J60/J26*365</f>
        <v>98.072089455268454</v>
      </c>
      <c r="K19" s="51">
        <f>-K60/K26*365</f>
        <v>96.332533836235996</v>
      </c>
      <c r="L19" s="51">
        <f>-L60/L26*365</f>
        <v>110.60530110554144</v>
      </c>
      <c r="M19" s="51">
        <f>AVERAGE(H19:L19)</f>
        <v>109.93848984179411</v>
      </c>
      <c r="N19" s="51">
        <f t="shared" si="4"/>
        <v>109.93848984179411</v>
      </c>
      <c r="O19" s="51">
        <f t="shared" si="4"/>
        <v>109.93848984179411</v>
      </c>
      <c r="P19" s="51">
        <f t="shared" si="4"/>
        <v>109.93848984179411</v>
      </c>
      <c r="Q19" s="51">
        <f t="shared" si="4"/>
        <v>109.93848984179411</v>
      </c>
    </row>
    <row r="20" spans="1:17" ht="15" customHeight="1" x14ac:dyDescent="0.35">
      <c r="A20" s="50"/>
      <c r="B20" s="50"/>
      <c r="C20" s="50"/>
      <c r="D20" s="51" t="s">
        <v>165</v>
      </c>
      <c r="E20" s="51"/>
      <c r="F20" s="51" t="s">
        <v>166</v>
      </c>
      <c r="G20" s="51"/>
      <c r="H20" s="56">
        <f>H25/H52</f>
        <v>4.2802611681098188</v>
      </c>
      <c r="I20" s="56">
        <f>I25/I52</f>
        <v>4.8557113160279304</v>
      </c>
      <c r="J20" s="56">
        <f>J25/J52</f>
        <v>4.9784952668319349</v>
      </c>
      <c r="K20" s="56">
        <f>K25/K52</f>
        <v>5.1368551265412075</v>
      </c>
      <c r="L20" s="56">
        <f>L25/L52</f>
        <v>5.1890279114533202</v>
      </c>
      <c r="M20" s="56">
        <f>L20+0.02</f>
        <v>5.2090279114533198</v>
      </c>
      <c r="N20" s="56">
        <f>M20+0.02</f>
        <v>5.2290279114533194</v>
      </c>
      <c r="O20" s="56">
        <f>N20+0.02</f>
        <v>5.2490279114533189</v>
      </c>
      <c r="P20" s="56">
        <f>O20+0.02</f>
        <v>5.2690279114533185</v>
      </c>
      <c r="Q20" s="56">
        <f>P20+0.02</f>
        <v>5.2890279114533181</v>
      </c>
    </row>
    <row r="21" spans="1:17" ht="15" customHeight="1" x14ac:dyDescent="0.35">
      <c r="A21" s="50"/>
      <c r="B21" s="50"/>
      <c r="C21" s="50"/>
      <c r="D21" s="51"/>
      <c r="E21" s="51"/>
      <c r="F21" s="51"/>
      <c r="G21" s="51"/>
      <c r="H21" s="56"/>
      <c r="I21" s="56"/>
      <c r="J21" s="56"/>
      <c r="K21" s="56"/>
      <c r="L21" s="56"/>
      <c r="M21" s="48"/>
      <c r="N21" s="48"/>
      <c r="O21" s="48"/>
      <c r="P21" s="48"/>
      <c r="Q21" s="48"/>
    </row>
    <row r="23" spans="1:17" ht="20.25" customHeight="1" x14ac:dyDescent="0.45">
      <c r="A23" s="49" t="s">
        <v>167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</row>
    <row r="24" spans="1:17" s="58" customFormat="1" ht="18" customHeight="1" outlineLevel="1" x14ac:dyDescent="0.45">
      <c r="A24" s="57"/>
      <c r="B24" s="26" t="s">
        <v>2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spans="1:17" s="58" customFormat="1" ht="18" customHeight="1" outlineLevel="1" x14ac:dyDescent="0.45">
      <c r="A25" s="57"/>
      <c r="B25" s="57"/>
      <c r="C25" s="57"/>
      <c r="D25" s="57" t="s">
        <v>168</v>
      </c>
      <c r="E25" s="57"/>
      <c r="F25" s="59" t="s">
        <v>169</v>
      </c>
      <c r="G25" s="57"/>
      <c r="H25" s="50">
        <f>'P&amp;L'!B5</f>
        <v>14972.91</v>
      </c>
      <c r="I25" s="50">
        <f>'P&amp;L'!C5</f>
        <v>18219.599999999999</v>
      </c>
      <c r="J25" s="50">
        <f>'P&amp;L'!D5</f>
        <v>22472.38</v>
      </c>
      <c r="K25" s="50">
        <f>'P&amp;L'!E5</f>
        <v>25330.86</v>
      </c>
      <c r="L25" s="50">
        <f>'P&amp;L'!F5</f>
        <v>26957</v>
      </c>
      <c r="M25" s="51">
        <f>L25*(1+M8)</f>
        <v>29113.56</v>
      </c>
      <c r="N25" s="51">
        <f>M25*(1+N8)</f>
        <v>31093.282080000004</v>
      </c>
      <c r="O25" s="51">
        <f>N25*(1+O8)</f>
        <v>32890.473784224007</v>
      </c>
      <c r="P25" s="51">
        <f>O25*(1+P8)</f>
        <v>34506.38276124293</v>
      </c>
      <c r="Q25" s="51">
        <f>P25*(1+Q8)</f>
        <v>35947.386558543818</v>
      </c>
    </row>
    <row r="26" spans="1:17" s="58" customFormat="1" ht="18" customHeight="1" outlineLevel="1" x14ac:dyDescent="0.45">
      <c r="A26" s="57"/>
      <c r="B26" s="57"/>
      <c r="C26" s="57"/>
      <c r="D26" s="57" t="s">
        <v>170</v>
      </c>
      <c r="E26" s="57"/>
      <c r="F26" s="59" t="s">
        <v>169</v>
      </c>
      <c r="G26" s="57"/>
      <c r="H26" s="50">
        <f>-('P&amp;L'!B9+'P&amp;L'!B10+'P&amp;L'!B12)</f>
        <v>-7924.2500000000009</v>
      </c>
      <c r="I26" s="50">
        <f>-('P&amp;L'!C9+'P&amp;L'!C10+'P&amp;L'!C12)</f>
        <v>-9880.01</v>
      </c>
      <c r="J26" s="50">
        <f>-('P&amp;L'!D9+'P&amp;L'!D10+'P&amp;L'!D12)</f>
        <v>-12775.099999999999</v>
      </c>
      <c r="K26" s="50">
        <f>-('P&amp;L'!E9+'P&amp;L'!E10+'P&amp;L'!E12)</f>
        <v>-14221.44</v>
      </c>
      <c r="L26" s="50">
        <f>-('P&amp;L'!F9+'P&amp;L'!F10+'P&amp;L'!F12)</f>
        <v>-14563</v>
      </c>
      <c r="M26" s="51">
        <f>-M25*M9</f>
        <v>-15963.84470161275</v>
      </c>
      <c r="N26" s="51">
        <f>-N25*N9</f>
        <v>-17049.386141322419</v>
      </c>
      <c r="O26" s="51">
        <f>-O25*O9</f>
        <v>-18034.840660290854</v>
      </c>
      <c r="P26" s="51">
        <f>-P25*P9</f>
        <v>-18920.892381930946</v>
      </c>
      <c r="Q26" s="51">
        <f>-Q25*Q9</f>
        <v>-19711.038308246571</v>
      </c>
    </row>
    <row r="27" spans="1:17" s="58" customFormat="1" ht="18" customHeight="1" outlineLevel="1" x14ac:dyDescent="0.45">
      <c r="A27" s="57"/>
      <c r="B27" s="57"/>
      <c r="C27" s="57"/>
      <c r="D27" s="60" t="s">
        <v>171</v>
      </c>
      <c r="E27" s="60"/>
      <c r="F27" s="61" t="s">
        <v>169</v>
      </c>
      <c r="G27" s="60"/>
      <c r="H27" s="62">
        <f t="shared" ref="H27:Q27" si="5">SUM(H25:H26)</f>
        <v>7048.6599999999989</v>
      </c>
      <c r="I27" s="62">
        <f t="shared" si="5"/>
        <v>8339.5899999999983</v>
      </c>
      <c r="J27" s="62">
        <f t="shared" si="5"/>
        <v>9697.2800000000025</v>
      </c>
      <c r="K27" s="62">
        <f t="shared" si="5"/>
        <v>11109.42</v>
      </c>
      <c r="L27" s="62">
        <f t="shared" si="5"/>
        <v>12394</v>
      </c>
      <c r="M27" s="62">
        <f t="shared" si="5"/>
        <v>13149.715298387251</v>
      </c>
      <c r="N27" s="62">
        <f t="shared" si="5"/>
        <v>14043.895938677586</v>
      </c>
      <c r="O27" s="62">
        <f t="shared" si="5"/>
        <v>14855.633123933152</v>
      </c>
      <c r="P27" s="62">
        <f t="shared" si="5"/>
        <v>15585.490379311985</v>
      </c>
      <c r="Q27" s="62">
        <f t="shared" si="5"/>
        <v>16236.348250297247</v>
      </c>
    </row>
    <row r="28" spans="1:17" s="58" customFormat="1" ht="18" customHeight="1" outlineLevel="1" x14ac:dyDescent="0.45">
      <c r="A28" s="57"/>
      <c r="B28" s="26" t="s">
        <v>6</v>
      </c>
      <c r="C28" s="57"/>
      <c r="D28" s="57"/>
      <c r="E28" s="57"/>
      <c r="F28" s="59"/>
      <c r="G28" s="57"/>
      <c r="H28" s="50"/>
      <c r="I28" s="50"/>
      <c r="J28" s="50"/>
      <c r="K28" s="50"/>
      <c r="L28" s="50"/>
      <c r="M28" s="63"/>
      <c r="N28" s="63"/>
      <c r="O28" s="63"/>
      <c r="P28" s="63"/>
      <c r="Q28" s="63"/>
    </row>
    <row r="29" spans="1:17" s="58" customFormat="1" ht="18" customHeight="1" outlineLevel="1" x14ac:dyDescent="0.45">
      <c r="A29" s="57"/>
      <c r="B29" s="57"/>
      <c r="C29" s="57"/>
      <c r="D29" s="57" t="s">
        <v>172</v>
      </c>
      <c r="E29" s="57"/>
      <c r="F29" s="59" t="s">
        <v>169</v>
      </c>
      <c r="G29" s="57"/>
      <c r="H29" s="50">
        <f>-'P&amp;L'!B13</f>
        <v>-2153.75</v>
      </c>
      <c r="I29" s="50">
        <f>-'P&amp;L'!C13</f>
        <v>-2438.9699999999998</v>
      </c>
      <c r="J29" s="50">
        <f>-'P&amp;L'!D13</f>
        <v>-2696.83</v>
      </c>
      <c r="K29" s="50">
        <f>-'P&amp;L'!E13</f>
        <v>-3135.19</v>
      </c>
      <c r="L29" s="50">
        <f>-'P&amp;L'!F13</f>
        <v>-3643</v>
      </c>
      <c r="M29" s="51">
        <f>-M25*M10</f>
        <v>-3823.3409009855764</v>
      </c>
      <c r="N29" s="51">
        <f>-N25*N10</f>
        <v>-4083.3280822525962</v>
      </c>
      <c r="O29" s="51">
        <f>-O25*O10</f>
        <v>-4319.3444454067967</v>
      </c>
      <c r="P29" s="51">
        <f>-P25*P10</f>
        <v>-4531.5538380096323</v>
      </c>
      <c r="Q29" s="51">
        <f>-Q25*Q10</f>
        <v>-4720.7937920618333</v>
      </c>
    </row>
    <row r="30" spans="1:17" s="58" customFormat="1" ht="18" customHeight="1" outlineLevel="1" x14ac:dyDescent="0.45">
      <c r="A30" s="57"/>
      <c r="B30" s="57"/>
      <c r="C30" s="57"/>
      <c r="D30" s="57" t="s">
        <v>173</v>
      </c>
      <c r="E30" s="57"/>
      <c r="F30" s="59" t="s">
        <v>169</v>
      </c>
      <c r="G30" s="57"/>
      <c r="H30" s="50">
        <f>-'P&amp;L'!B16</f>
        <v>-2800.24</v>
      </c>
      <c r="I30" s="50">
        <f>-'P&amp;L'!C16</f>
        <v>-3434.13</v>
      </c>
      <c r="J30" s="50">
        <f>-'P&amp;L'!D16</f>
        <v>-4064.75</v>
      </c>
      <c r="K30" s="50">
        <f>-'P&amp;L'!E16</f>
        <v>-4598.8900000000003</v>
      </c>
      <c r="L30" s="50">
        <f>-'P&amp;L'!F16</f>
        <v>-5016</v>
      </c>
      <c r="M30" s="51">
        <f>-(M25*M11)</f>
        <v>-5380.2468546713126</v>
      </c>
      <c r="N30" s="51">
        <f>-(N25*N11)</f>
        <v>-5746.1036407889624</v>
      </c>
      <c r="O30" s="51">
        <f>-(O25*O11)</f>
        <v>-6078.2284312265647</v>
      </c>
      <c r="P30" s="51">
        <f>-(P25*P11)</f>
        <v>-6376.8517940527263</v>
      </c>
      <c r="Q30" s="51">
        <f>-(Q25*Q11)</f>
        <v>-6643.1523133982655</v>
      </c>
    </row>
    <row r="31" spans="1:17" s="58" customFormat="1" ht="18" customHeight="1" outlineLevel="1" x14ac:dyDescent="0.45">
      <c r="A31" s="57"/>
      <c r="B31" s="57"/>
      <c r="C31" s="57"/>
      <c r="D31" s="60" t="s">
        <v>174</v>
      </c>
      <c r="E31" s="60"/>
      <c r="F31" s="61" t="s">
        <v>169</v>
      </c>
      <c r="G31" s="60"/>
      <c r="H31" s="62">
        <f t="shared" ref="H31:Q31" si="6">SUM(H27:H30)</f>
        <v>2094.6699999999992</v>
      </c>
      <c r="I31" s="62">
        <f t="shared" si="6"/>
        <v>2466.4899999999989</v>
      </c>
      <c r="J31" s="62">
        <f t="shared" si="6"/>
        <v>2935.7000000000025</v>
      </c>
      <c r="K31" s="62">
        <f t="shared" si="6"/>
        <v>3375.3399999999992</v>
      </c>
      <c r="L31" s="62">
        <f t="shared" si="6"/>
        <v>3735</v>
      </c>
      <c r="M31" s="62">
        <f t="shared" si="6"/>
        <v>3946.1275427303617</v>
      </c>
      <c r="N31" s="62">
        <f t="shared" si="6"/>
        <v>4214.4642156360278</v>
      </c>
      <c r="O31" s="62">
        <f t="shared" si="6"/>
        <v>4458.0602472997898</v>
      </c>
      <c r="P31" s="62">
        <f t="shared" si="6"/>
        <v>4677.0847472496253</v>
      </c>
      <c r="Q31" s="62">
        <f t="shared" si="6"/>
        <v>4872.4021448371486</v>
      </c>
    </row>
    <row r="32" spans="1:17" s="58" customFormat="1" ht="18" customHeight="1" outlineLevel="1" x14ac:dyDescent="0.45">
      <c r="A32" s="57"/>
      <c r="B32" s="57"/>
      <c r="C32" s="57"/>
      <c r="D32" s="57" t="s">
        <v>175</v>
      </c>
      <c r="E32" s="57"/>
      <c r="F32" s="59" t="s">
        <v>169</v>
      </c>
      <c r="G32" s="57"/>
      <c r="H32" s="50">
        <f>-'P&amp;L'!B15</f>
        <v>-435.34</v>
      </c>
      <c r="I32" s="50">
        <f>-'P&amp;L'!C15</f>
        <v>-452.61</v>
      </c>
      <c r="J32" s="50">
        <f>-'P&amp;L'!D15</f>
        <v>-496.78</v>
      </c>
      <c r="K32" s="50">
        <f>-'P&amp;L'!E15</f>
        <v>-543.24</v>
      </c>
      <c r="L32" s="50">
        <f>-'P&amp;L'!F15</f>
        <v>-583</v>
      </c>
      <c r="M32" s="51">
        <f>M120</f>
        <v>-649.84071987711695</v>
      </c>
      <c r="N32" s="51">
        <f>N120</f>
        <v>-620.34002629718805</v>
      </c>
      <c r="O32" s="51">
        <f>O120</f>
        <v>-590.10114133169395</v>
      </c>
      <c r="P32" s="51">
        <f>P120</f>
        <v>-559.11449471082187</v>
      </c>
      <c r="Q32" s="51">
        <f>Q120</f>
        <v>-527.53763572035575</v>
      </c>
    </row>
    <row r="33" spans="1:17" s="58" customFormat="1" ht="18" customHeight="1" outlineLevel="1" x14ac:dyDescent="0.45">
      <c r="A33" s="57"/>
      <c r="B33" s="57"/>
      <c r="C33" s="57"/>
      <c r="D33" s="60" t="s">
        <v>176</v>
      </c>
      <c r="E33" s="60"/>
      <c r="F33" s="61" t="s">
        <v>169</v>
      </c>
      <c r="G33" s="60"/>
      <c r="H33" s="62">
        <f t="shared" ref="H33:Q33" si="7">SUM(H31:H32)</f>
        <v>1659.3299999999992</v>
      </c>
      <c r="I33" s="62">
        <f t="shared" si="7"/>
        <v>2013.8799999999987</v>
      </c>
      <c r="J33" s="62">
        <f t="shared" si="7"/>
        <v>2438.9200000000028</v>
      </c>
      <c r="K33" s="62">
        <f t="shared" si="7"/>
        <v>2832.0999999999995</v>
      </c>
      <c r="L33" s="62">
        <f t="shared" si="7"/>
        <v>3152</v>
      </c>
      <c r="M33" s="62">
        <f t="shared" si="7"/>
        <v>3296.2868228532448</v>
      </c>
      <c r="N33" s="62">
        <f t="shared" si="7"/>
        <v>3594.1241893388396</v>
      </c>
      <c r="O33" s="62">
        <f t="shared" si="7"/>
        <v>3867.9591059680961</v>
      </c>
      <c r="P33" s="62">
        <f t="shared" si="7"/>
        <v>4117.9702525388038</v>
      </c>
      <c r="Q33" s="62">
        <f t="shared" si="7"/>
        <v>4344.8645091167928</v>
      </c>
    </row>
    <row r="34" spans="1:17" s="58" customFormat="1" ht="18" customHeight="1" outlineLevel="1" x14ac:dyDescent="0.45">
      <c r="A34" s="57"/>
      <c r="B34" s="57"/>
      <c r="C34" s="57"/>
      <c r="D34" s="57" t="s">
        <v>177</v>
      </c>
      <c r="E34" s="57"/>
      <c r="F34" s="59" t="s">
        <v>169</v>
      </c>
      <c r="G34" s="57"/>
      <c r="H34" s="50">
        <f>-'P&amp;L'!B14</f>
        <v>-50.4</v>
      </c>
      <c r="I34" s="50">
        <f>-'P&amp;L'!C14</f>
        <v>-61.26</v>
      </c>
      <c r="J34" s="50">
        <f>-'P&amp;L'!D14</f>
        <v>-52.9</v>
      </c>
      <c r="K34" s="50">
        <f>-'P&amp;L'!E14</f>
        <v>-27.17</v>
      </c>
      <c r="L34" s="50">
        <f>-'P&amp;L'!F14</f>
        <v>-30</v>
      </c>
      <c r="M34" s="51">
        <f>M127</f>
        <v>-2.9400000000000004</v>
      </c>
      <c r="N34" s="51">
        <f>N127</f>
        <v>-2.9400000000000004</v>
      </c>
      <c r="O34" s="51">
        <f>O127</f>
        <v>-2.9400000000000004</v>
      </c>
      <c r="P34" s="51">
        <f>P127</f>
        <v>-2.9400000000000004</v>
      </c>
      <c r="Q34" s="51">
        <f>Q127</f>
        <v>-2.9400000000000004</v>
      </c>
    </row>
    <row r="35" spans="1:17" s="58" customFormat="1" ht="18" customHeight="1" outlineLevel="1" x14ac:dyDescent="0.45">
      <c r="A35" s="57"/>
      <c r="B35" s="57"/>
      <c r="C35" s="57"/>
      <c r="D35" s="57" t="s">
        <v>178</v>
      </c>
      <c r="E35" s="57"/>
      <c r="F35" s="59" t="s">
        <v>169</v>
      </c>
      <c r="G35" s="57"/>
      <c r="H35" s="50">
        <f>'P&amp;L'!B6+'P&amp;L'!B21</f>
        <v>401.14</v>
      </c>
      <c r="I35" s="50">
        <f>'P&amp;L'!C6+'P&amp;L'!C21</f>
        <v>500.07</v>
      </c>
      <c r="J35" s="50">
        <f>'P&amp;L'!D6+'P&amp;L'!D21</f>
        <v>417.47</v>
      </c>
      <c r="K35" s="50">
        <f>'P&amp;L'!E6+'P&amp;L'!E21</f>
        <v>501.57</v>
      </c>
      <c r="L35" s="50">
        <f>'P&amp;L'!F6+'P&amp;L'!F21</f>
        <v>337</v>
      </c>
      <c r="M35" s="51">
        <f>M25*M14</f>
        <v>612.06621206943623</v>
      </c>
      <c r="N35" s="51">
        <f>N25*N14</f>
        <v>653.6867144901579</v>
      </c>
      <c r="O35" s="51">
        <f>O25*O14</f>
        <v>691.46980658768905</v>
      </c>
      <c r="P35" s="51">
        <f>P25*P14</f>
        <v>725.44171818534221</v>
      </c>
      <c r="Q35" s="51">
        <f>Q25*Q14</f>
        <v>755.73652705762129</v>
      </c>
    </row>
    <row r="36" spans="1:17" s="58" customFormat="1" ht="18" customHeight="1" outlineLevel="1" x14ac:dyDescent="0.45">
      <c r="A36" s="57"/>
      <c r="B36" s="57"/>
      <c r="C36" s="57"/>
      <c r="D36" s="60" t="s">
        <v>179</v>
      </c>
      <c r="E36" s="60"/>
      <c r="F36" s="61" t="s">
        <v>169</v>
      </c>
      <c r="G36" s="60"/>
      <c r="H36" s="62">
        <f t="shared" ref="H36:Q36" si="8">SUM(H33:H35)</f>
        <v>2010.0699999999993</v>
      </c>
      <c r="I36" s="62">
        <f t="shared" si="8"/>
        <v>2452.6899999999987</v>
      </c>
      <c r="J36" s="62">
        <f t="shared" si="8"/>
        <v>2803.4900000000025</v>
      </c>
      <c r="K36" s="62">
        <f t="shared" si="8"/>
        <v>3306.4999999999995</v>
      </c>
      <c r="L36" s="62">
        <f t="shared" si="8"/>
        <v>3459</v>
      </c>
      <c r="M36" s="62">
        <f t="shared" si="8"/>
        <v>3905.4130349226807</v>
      </c>
      <c r="N36" s="62">
        <f t="shared" si="8"/>
        <v>4244.8709038289971</v>
      </c>
      <c r="O36" s="62">
        <f t="shared" si="8"/>
        <v>4556.4889125557847</v>
      </c>
      <c r="P36" s="62">
        <f t="shared" si="8"/>
        <v>4840.4719707241466</v>
      </c>
      <c r="Q36" s="62">
        <f t="shared" si="8"/>
        <v>5097.6610361744142</v>
      </c>
    </row>
    <row r="37" spans="1:17" s="58" customFormat="1" ht="18" customHeight="1" outlineLevel="1" x14ac:dyDescent="0.45">
      <c r="A37" s="57"/>
      <c r="B37" s="57"/>
      <c r="C37" s="57"/>
      <c r="D37" s="57" t="s">
        <v>180</v>
      </c>
      <c r="E37" s="57"/>
      <c r="F37" s="59" t="s">
        <v>169</v>
      </c>
      <c r="G37" s="57"/>
      <c r="H37" s="50">
        <f>-'P&amp;L'!B26</f>
        <v>-516.17999999999995</v>
      </c>
      <c r="I37" s="50">
        <f>-'P&amp;L'!C26</f>
        <v>-625.28</v>
      </c>
      <c r="J37" s="50">
        <f>-'P&amp;L'!D26</f>
        <v>-716.16</v>
      </c>
      <c r="K37" s="50">
        <f>-'P&amp;L'!E26</f>
        <v>-831.75</v>
      </c>
      <c r="L37" s="50">
        <f>-'P&amp;L'!F26</f>
        <v>-900</v>
      </c>
      <c r="M37" s="51">
        <f>-M36*M15</f>
        <v>-998.947832332237</v>
      </c>
      <c r="N37" s="51">
        <f>-N36*N15</f>
        <v>-1085.7762162393437</v>
      </c>
      <c r="O37" s="51">
        <f>-O36*O15</f>
        <v>-1165.4835689699557</v>
      </c>
      <c r="P37" s="51">
        <f>-P36*P15</f>
        <v>-1238.1223034238087</v>
      </c>
      <c r="Q37" s="51">
        <f>-Q36*Q15</f>
        <v>-1303.9075243809016</v>
      </c>
    </row>
    <row r="38" spans="1:17" s="58" customFormat="1" ht="18" customHeight="1" outlineLevel="1" x14ac:dyDescent="0.45">
      <c r="A38" s="57"/>
      <c r="B38" s="57"/>
      <c r="C38" s="57"/>
      <c r="D38" s="60" t="s">
        <v>181</v>
      </c>
      <c r="E38" s="60"/>
      <c r="F38" s="61" t="s">
        <v>169</v>
      </c>
      <c r="G38" s="60"/>
      <c r="H38" s="62">
        <f t="shared" ref="H38:Q38" si="9">SUM(H36:H37)</f>
        <v>1493.8899999999994</v>
      </c>
      <c r="I38" s="62">
        <f t="shared" si="9"/>
        <v>1827.4099999999987</v>
      </c>
      <c r="J38" s="62">
        <f t="shared" si="9"/>
        <v>2087.3300000000027</v>
      </c>
      <c r="K38" s="62">
        <f t="shared" si="9"/>
        <v>2474.7499999999995</v>
      </c>
      <c r="L38" s="62">
        <f t="shared" si="9"/>
        <v>2559</v>
      </c>
      <c r="M38" s="62">
        <f t="shared" si="9"/>
        <v>2906.4652025904438</v>
      </c>
      <c r="N38" s="62">
        <f t="shared" si="9"/>
        <v>3159.0946875896534</v>
      </c>
      <c r="O38" s="62">
        <f t="shared" si="9"/>
        <v>3391.005343585829</v>
      </c>
      <c r="P38" s="62">
        <f t="shared" si="9"/>
        <v>3602.3496673003378</v>
      </c>
      <c r="Q38" s="62">
        <f t="shared" si="9"/>
        <v>3793.7535117935126</v>
      </c>
    </row>
    <row r="39" spans="1:17" s="58" customFormat="1" ht="18" customHeight="1" outlineLevel="1" x14ac:dyDescent="0.45">
      <c r="H39" s="64"/>
      <c r="I39" s="64"/>
      <c r="J39" s="64"/>
      <c r="K39" s="64"/>
      <c r="L39" s="64"/>
      <c r="M39" s="63"/>
      <c r="N39" s="63"/>
      <c r="O39" s="63"/>
      <c r="P39" s="63"/>
      <c r="Q39" s="63"/>
    </row>
    <row r="40" spans="1:17" s="58" customFormat="1" ht="18" customHeight="1" x14ac:dyDescent="0.45">
      <c r="H40" s="64"/>
      <c r="I40" s="64"/>
      <c r="J40" s="64"/>
      <c r="K40" s="64"/>
      <c r="L40" s="64"/>
      <c r="M40" s="63"/>
      <c r="N40" s="63"/>
      <c r="O40" s="63"/>
      <c r="P40" s="63"/>
      <c r="Q40" s="63"/>
    </row>
    <row r="41" spans="1:17" s="58" customFormat="1" ht="20.25" customHeight="1" x14ac:dyDescent="0.45">
      <c r="A41" s="49" t="s">
        <v>182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</row>
    <row r="42" spans="1:17" s="58" customFormat="1" ht="18" customHeight="1" x14ac:dyDescent="0.45">
      <c r="H42" s="64"/>
      <c r="I42" s="64"/>
      <c r="J42" s="64"/>
      <c r="K42" s="64"/>
      <c r="L42" s="64"/>
      <c r="M42" s="63"/>
      <c r="N42" s="63"/>
      <c r="O42" s="63"/>
      <c r="P42" s="63"/>
      <c r="Q42" s="63"/>
    </row>
    <row r="43" spans="1:17" s="58" customFormat="1" ht="18" customHeight="1" outlineLevel="1" x14ac:dyDescent="0.45">
      <c r="A43" s="57"/>
      <c r="B43" s="26" t="s">
        <v>183</v>
      </c>
      <c r="C43" s="57"/>
      <c r="D43" s="57"/>
      <c r="E43" s="57"/>
      <c r="F43" s="59"/>
      <c r="G43" s="57"/>
      <c r="H43" s="50"/>
      <c r="I43" s="50"/>
      <c r="J43" s="50"/>
      <c r="K43" s="50"/>
      <c r="L43" s="50"/>
      <c r="M43" s="63"/>
      <c r="N43" s="63"/>
      <c r="O43" s="63"/>
      <c r="P43" s="63"/>
      <c r="Q43" s="63"/>
    </row>
    <row r="44" spans="1:17" s="58" customFormat="1" ht="18" customHeight="1" outlineLevel="1" x14ac:dyDescent="0.45">
      <c r="A44" s="57"/>
      <c r="B44" s="57"/>
      <c r="C44" s="26" t="s">
        <v>184</v>
      </c>
      <c r="D44" s="57"/>
      <c r="E44" s="57"/>
      <c r="F44" s="57"/>
      <c r="G44" s="57"/>
      <c r="H44" s="50"/>
      <c r="I44" s="50"/>
      <c r="J44" s="50"/>
      <c r="K44" s="50"/>
      <c r="L44" s="50"/>
      <c r="M44" s="63"/>
      <c r="N44" s="63"/>
      <c r="O44" s="63"/>
      <c r="P44" s="63"/>
      <c r="Q44" s="63"/>
    </row>
    <row r="45" spans="1:17" s="58" customFormat="1" ht="18" customHeight="1" outlineLevel="1" x14ac:dyDescent="0.45">
      <c r="A45" s="57"/>
      <c r="B45" s="57"/>
      <c r="C45" s="57"/>
      <c r="D45" s="57" t="s">
        <v>185</v>
      </c>
      <c r="E45" s="57"/>
      <c r="F45" s="59" t="s">
        <v>169</v>
      </c>
      <c r="G45" s="57"/>
      <c r="H45" s="50">
        <f>'Balance Sheet'!C24</f>
        <v>565.65</v>
      </c>
      <c r="I45" s="50">
        <f>'Balance Sheet'!D24</f>
        <v>319.54000000000002</v>
      </c>
      <c r="J45" s="50">
        <f>'Balance Sheet'!E24</f>
        <v>1195.28</v>
      </c>
      <c r="K45" s="50">
        <f>'Balance Sheet'!F24</f>
        <v>959.01</v>
      </c>
      <c r="L45" s="50">
        <f>'Balance Sheet'!G24</f>
        <v>1668</v>
      </c>
      <c r="M45" s="51">
        <f>M71-(M46+M47+M48+M49+M52+M53+M54+M55)</f>
        <v>4261.1762531160457</v>
      </c>
      <c r="N45" s="51">
        <f>N71-(N46+N47+N48+N49+N52+N53+N54+N55)</f>
        <v>6738.7737132020848</v>
      </c>
      <c r="O45" s="51">
        <f>O71-(O46+O47+O48+O49+O52+O53+O54+O55)</f>
        <v>9501.8667176742711</v>
      </c>
      <c r="P45" s="51">
        <f>P71-(P46+P47+P48+P49+P52+P53+P54+P55)</f>
        <v>12431.224804101163</v>
      </c>
      <c r="Q45" s="51">
        <f>Q71-(Q46+Q47+Q48+Q49+Q52+Q53+Q54+Q55)</f>
        <v>15488.805511802006</v>
      </c>
    </row>
    <row r="46" spans="1:17" s="58" customFormat="1" ht="18" customHeight="1" outlineLevel="1" x14ac:dyDescent="0.45">
      <c r="A46" s="57"/>
      <c r="B46" s="57"/>
      <c r="C46" s="57"/>
      <c r="D46" s="57" t="s">
        <v>186</v>
      </c>
      <c r="E46" s="57"/>
      <c r="F46" s="59" t="s">
        <v>169</v>
      </c>
      <c r="G46" s="57"/>
      <c r="H46" s="50">
        <f>'Balance Sheet'!C25</f>
        <v>2979.65</v>
      </c>
      <c r="I46" s="50">
        <f>'Balance Sheet'!D25</f>
        <v>2290.5300000000002</v>
      </c>
      <c r="J46" s="50">
        <f>'Balance Sheet'!E25</f>
        <v>1550.4</v>
      </c>
      <c r="K46" s="50">
        <f>'Balance Sheet'!F25</f>
        <v>2275.67</v>
      </c>
      <c r="L46" s="50">
        <f>'Balance Sheet'!G25</f>
        <v>1166</v>
      </c>
      <c r="M46" s="50">
        <f>L46</f>
        <v>1166</v>
      </c>
      <c r="N46" s="50">
        <f>M46</f>
        <v>1166</v>
      </c>
      <c r="O46" s="50">
        <f>N46</f>
        <v>1166</v>
      </c>
      <c r="P46" s="50">
        <f>O46</f>
        <v>1166</v>
      </c>
      <c r="Q46" s="50">
        <f>P46</f>
        <v>1166</v>
      </c>
    </row>
    <row r="47" spans="1:17" s="58" customFormat="1" ht="18" customHeight="1" outlineLevel="1" x14ac:dyDescent="0.45">
      <c r="A47" s="57"/>
      <c r="B47" s="57"/>
      <c r="C47" s="57"/>
      <c r="D47" s="57" t="s">
        <v>187</v>
      </c>
      <c r="E47" s="57"/>
      <c r="F47" s="59" t="s">
        <v>169</v>
      </c>
      <c r="G47" s="57"/>
      <c r="H47" s="50">
        <f>'Balance Sheet'!C23</f>
        <v>2779.83</v>
      </c>
      <c r="I47" s="50">
        <f>'Balance Sheet'!D23</f>
        <v>4036.53</v>
      </c>
      <c r="J47" s="50">
        <f>'Balance Sheet'!E23</f>
        <v>4917.1899999999996</v>
      </c>
      <c r="K47" s="50">
        <f>'Balance Sheet'!F23</f>
        <v>6502.73</v>
      </c>
      <c r="L47" s="50">
        <f>'Balance Sheet'!G23</f>
        <v>8692</v>
      </c>
      <c r="M47" s="51">
        <f>M25*M17/365</f>
        <v>8773.9495890410963</v>
      </c>
      <c r="N47" s="51">
        <f>N25*N17/365</f>
        <v>8944.642790136988</v>
      </c>
      <c r="O47" s="51">
        <f>O25*O17/365</f>
        <v>9011.0887080065768</v>
      </c>
      <c r="P47" s="51">
        <f>P25*P17/365</f>
        <v>9075.6513563817025</v>
      </c>
      <c r="Q47" s="51">
        <f>Q25*Q17/365</f>
        <v>9159.197123135822</v>
      </c>
    </row>
    <row r="48" spans="1:17" s="58" customFormat="1" ht="18" customHeight="1" outlineLevel="1" x14ac:dyDescent="0.45">
      <c r="A48" s="57"/>
      <c r="B48" s="57"/>
      <c r="C48" s="57"/>
      <c r="D48" s="57" t="s">
        <v>163</v>
      </c>
      <c r="E48" s="57"/>
      <c r="F48" s="59" t="s">
        <v>169</v>
      </c>
      <c r="G48" s="57"/>
      <c r="H48" s="50">
        <f>'Balance Sheet'!C21</f>
        <v>4230.84</v>
      </c>
      <c r="I48" s="50">
        <f>'Balance Sheet'!D21</f>
        <v>5610.89</v>
      </c>
      <c r="J48" s="50">
        <f>'Balance Sheet'!E21</f>
        <v>6426.34</v>
      </c>
      <c r="K48" s="50">
        <f>'Balance Sheet'!F21</f>
        <v>6428.23</v>
      </c>
      <c r="L48" s="50">
        <f>'Balance Sheet'!G21</f>
        <v>7861</v>
      </c>
      <c r="M48" s="51">
        <f>-M26*M18/365</f>
        <v>8290.51151170907</v>
      </c>
      <c r="N48" s="51">
        <f>-N26*N18/365</f>
        <v>8854.2662945052871</v>
      </c>
      <c r="O48" s="51">
        <f>-O26*O18/365</f>
        <v>9366.0428863276939</v>
      </c>
      <c r="P48" s="51">
        <f>-P26*P18/365</f>
        <v>9826.1965733329744</v>
      </c>
      <c r="Q48" s="51">
        <f>-Q26*Q18/365</f>
        <v>10236.543455333644</v>
      </c>
    </row>
    <row r="49" spans="1:17" s="58" customFormat="1" ht="18" customHeight="1" outlineLevel="1" x14ac:dyDescent="0.45">
      <c r="A49" s="57"/>
      <c r="B49" s="57"/>
      <c r="C49" s="57"/>
      <c r="D49" s="57" t="s">
        <v>188</v>
      </c>
      <c r="E49" s="57"/>
      <c r="F49" s="59" t="s">
        <v>169</v>
      </c>
      <c r="G49" s="57"/>
      <c r="H49" s="50">
        <f>'Balance Sheet'!C28</f>
        <v>517.95000000000005</v>
      </c>
      <c r="I49" s="50">
        <f>'Balance Sheet'!D28</f>
        <v>351.35</v>
      </c>
      <c r="J49" s="50">
        <f>'Balance Sheet'!E28</f>
        <v>429.43</v>
      </c>
      <c r="K49" s="50">
        <f>'Balance Sheet'!F28</f>
        <v>701.81</v>
      </c>
      <c r="L49" s="50">
        <f>'Balance Sheet'!G28</f>
        <v>1113</v>
      </c>
      <c r="M49" s="51">
        <f>L49*(M25/L25)</f>
        <v>1202.0400000000002</v>
      </c>
      <c r="N49" s="51">
        <f>M49*(N25/M25)</f>
        <v>1283.7787200000002</v>
      </c>
      <c r="O49" s="51">
        <f>N49*(O25/N25)</f>
        <v>1357.9811300160004</v>
      </c>
      <c r="P49" s="51">
        <f>O49*(P25/O25)</f>
        <v>1424.6987429336864</v>
      </c>
      <c r="Q49" s="51">
        <f>P49*(Q25/P25)</f>
        <v>1484.1948747879687</v>
      </c>
    </row>
    <row r="50" spans="1:17" s="58" customFormat="1" ht="18" customHeight="1" outlineLevel="1" x14ac:dyDescent="0.45">
      <c r="A50" s="57"/>
      <c r="B50" s="57"/>
      <c r="C50" s="57"/>
      <c r="D50" s="57"/>
      <c r="E50" s="57"/>
      <c r="F50" s="59"/>
      <c r="G50" s="57"/>
      <c r="H50" s="50"/>
      <c r="I50" s="50"/>
      <c r="J50" s="50"/>
      <c r="K50" s="50"/>
      <c r="L50" s="50"/>
      <c r="M50" s="51"/>
      <c r="N50" s="51"/>
      <c r="O50" s="51"/>
      <c r="P50" s="51"/>
      <c r="Q50" s="51"/>
    </row>
    <row r="51" spans="1:17" s="58" customFormat="1" ht="18" customHeight="1" outlineLevel="1" x14ac:dyDescent="0.45">
      <c r="A51" s="57"/>
      <c r="B51" s="57"/>
      <c r="C51" s="26" t="s">
        <v>189</v>
      </c>
      <c r="D51" s="57"/>
      <c r="E51" s="57"/>
      <c r="F51" s="59"/>
      <c r="G51" s="57"/>
      <c r="H51" s="50"/>
      <c r="I51" s="50"/>
      <c r="J51" s="50"/>
      <c r="K51" s="50"/>
      <c r="L51" s="50"/>
      <c r="M51" s="51"/>
      <c r="N51" s="51"/>
      <c r="O51" s="51"/>
      <c r="P51" s="51"/>
      <c r="Q51" s="51"/>
    </row>
    <row r="52" spans="1:17" s="58" customFormat="1" ht="18" customHeight="1" outlineLevel="1" x14ac:dyDescent="0.45">
      <c r="A52" s="57"/>
      <c r="B52" s="57"/>
      <c r="C52" s="57"/>
      <c r="D52" s="57" t="s">
        <v>190</v>
      </c>
      <c r="E52" s="57"/>
      <c r="F52" s="59" t="s">
        <v>169</v>
      </c>
      <c r="G52" s="57"/>
      <c r="H52" s="50">
        <f>'Balance Sheet'!C6+'Balance Sheet'!C7+'Balance Sheet'!C8+'Balance Sheet'!C9+'Balance Sheet'!C10</f>
        <v>3498.13</v>
      </c>
      <c r="I52" s="50">
        <f>'Balance Sheet'!D6+'Balance Sheet'!D7+'Balance Sheet'!D8+'Balance Sheet'!D9+'Balance Sheet'!D10</f>
        <v>3752.2</v>
      </c>
      <c r="J52" s="50">
        <f>'Balance Sheet'!E6+'Balance Sheet'!E7+'Balance Sheet'!E8+'Balance Sheet'!E9+'Balance Sheet'!E10</f>
        <v>4513.8899999999994</v>
      </c>
      <c r="K52" s="50">
        <f>'Balance Sheet'!F6+'Balance Sheet'!F7+'Balance Sheet'!F8+'Balance Sheet'!F9+'Balance Sheet'!F10</f>
        <v>4931.2</v>
      </c>
      <c r="L52" s="50">
        <f>'Balance Sheet'!G6+'Balance Sheet'!G7+'Balance Sheet'!G8+'Balance Sheet'!G9+'Balance Sheet'!G10</f>
        <v>5195</v>
      </c>
      <c r="M52" s="51">
        <f>M121</f>
        <v>4959.1635889226654</v>
      </c>
      <c r="N52" s="51">
        <f>N121</f>
        <v>4717.4258790643989</v>
      </c>
      <c r="O52" s="51">
        <f>O121</f>
        <v>4469.7103631363252</v>
      </c>
      <c r="P52" s="51">
        <f>P121</f>
        <v>4217.2765321407987</v>
      </c>
      <c r="Q52" s="51">
        <f>Q121</f>
        <v>3962.1904359898244</v>
      </c>
    </row>
    <row r="53" spans="1:17" s="58" customFormat="1" ht="18" customHeight="1" outlineLevel="1" x14ac:dyDescent="0.45">
      <c r="A53" s="57"/>
      <c r="B53" s="57"/>
      <c r="C53" s="57"/>
      <c r="D53" s="57" t="s">
        <v>191</v>
      </c>
      <c r="E53" s="57"/>
      <c r="F53" s="59" t="s">
        <v>169</v>
      </c>
      <c r="G53" s="57"/>
      <c r="H53" s="50">
        <f>0</f>
        <v>0</v>
      </c>
      <c r="I53" s="50">
        <f>0</f>
        <v>0</v>
      </c>
      <c r="J53" s="50">
        <f>0</f>
        <v>0</v>
      </c>
      <c r="K53" s="50">
        <f>0</f>
        <v>0</v>
      </c>
      <c r="L53" s="50">
        <f>0</f>
        <v>0</v>
      </c>
      <c r="M53" s="50">
        <f>0</f>
        <v>0</v>
      </c>
      <c r="N53" s="50">
        <f>0</f>
        <v>0</v>
      </c>
      <c r="O53" s="50">
        <f>0</f>
        <v>0</v>
      </c>
      <c r="P53" s="50">
        <f>0</f>
        <v>0</v>
      </c>
      <c r="Q53" s="50">
        <f>0</f>
        <v>0</v>
      </c>
    </row>
    <row r="54" spans="1:17" s="58" customFormat="1" ht="18" customHeight="1" outlineLevel="1" x14ac:dyDescent="0.45">
      <c r="A54" s="57"/>
      <c r="B54" s="57"/>
      <c r="C54" s="57"/>
      <c r="D54" s="57" t="s">
        <v>192</v>
      </c>
      <c r="E54" s="57"/>
      <c r="F54" s="59" t="s">
        <v>169</v>
      </c>
      <c r="G54" s="57"/>
      <c r="H54" s="50">
        <f>'Balance Sheet'!C12+'Balance Sheet'!C13+'Balance Sheet'!C14+'Balance Sheet'!C26+'Balance Sheet'!C27+'Balance Sheet'!C15</f>
        <v>1144.53</v>
      </c>
      <c r="I54" s="50">
        <f>'Balance Sheet'!D12+'Balance Sheet'!D13+'Balance Sheet'!D14+'Balance Sheet'!D26+'Balance Sheet'!D27+'Balance Sheet'!D15</f>
        <v>1106.6499999999999</v>
      </c>
      <c r="J54" s="50">
        <f>'Balance Sheet'!E12+'Balance Sheet'!E13+'Balance Sheet'!E14+'Balance Sheet'!E26+'Balance Sheet'!E27+'Balance Sheet'!E15</f>
        <v>1096.6000000000001</v>
      </c>
      <c r="K54" s="50">
        <f>'Balance Sheet'!F12+'Balance Sheet'!F13+'Balance Sheet'!F14+'Balance Sheet'!F26+'Balance Sheet'!F27+'Balance Sheet'!F15</f>
        <v>1225.28</v>
      </c>
      <c r="L54" s="50">
        <f>'Balance Sheet'!G12+'Balance Sheet'!G13+'Balance Sheet'!G14+'Balance Sheet'!G26+'Balance Sheet'!G27+'Balance Sheet'!G15</f>
        <v>1386</v>
      </c>
      <c r="M54" s="51">
        <f>L54*(M25/L25)</f>
        <v>1496.88</v>
      </c>
      <c r="N54" s="51">
        <f>M54*(N25/M25)</f>
        <v>1598.6678400000003</v>
      </c>
      <c r="O54" s="51">
        <f>N54*(O25/N25)</f>
        <v>1691.0708411520004</v>
      </c>
      <c r="P54" s="51">
        <f>O54*(P25/O25)</f>
        <v>1774.1531515777981</v>
      </c>
      <c r="Q54" s="51">
        <f>P54*(Q25/P25)</f>
        <v>1848.2426742642629</v>
      </c>
    </row>
    <row r="55" spans="1:17" s="58" customFormat="1" ht="18" customHeight="1" outlineLevel="1" x14ac:dyDescent="0.45">
      <c r="A55" s="57"/>
      <c r="B55" s="57"/>
      <c r="C55" s="57"/>
      <c r="D55" s="57" t="s">
        <v>193</v>
      </c>
      <c r="E55" s="57"/>
      <c r="F55" s="59" t="s">
        <v>169</v>
      </c>
      <c r="G55" s="57"/>
      <c r="H55" s="50">
        <f>'Balance Sheet'!C16+'Balance Sheet'!C17+'Balance Sheet'!C18</f>
        <v>377.15999999999997</v>
      </c>
      <c r="I55" s="50">
        <f>'Balance Sheet'!D16+'Balance Sheet'!D17+'Balance Sheet'!D18</f>
        <v>780.43</v>
      </c>
      <c r="J55" s="50">
        <f>'Balance Sheet'!E16+'Balance Sheet'!E17+'Balance Sheet'!E18</f>
        <v>528.29999999999995</v>
      </c>
      <c r="K55" s="50">
        <f>'Balance Sheet'!F16+'Balance Sheet'!F17+'Balance Sheet'!F18</f>
        <v>456.35</v>
      </c>
      <c r="L55" s="50">
        <f>'Balance Sheet'!G16+'Balance Sheet'!G17+'Balance Sheet'!G18</f>
        <v>845</v>
      </c>
      <c r="M55" s="51">
        <f>L55*(M25/L25)</f>
        <v>912.6</v>
      </c>
      <c r="N55" s="51">
        <f>M55*(N25/M25)</f>
        <v>974.65680000000009</v>
      </c>
      <c r="O55" s="51">
        <f>N55*(O25/N25)</f>
        <v>1030.9919630400002</v>
      </c>
      <c r="P55" s="51">
        <f>O55*(P25/O25)</f>
        <v>1081.6445981841553</v>
      </c>
      <c r="Q55" s="51">
        <f>P55*(Q25/P25)</f>
        <v>1126.8146174266249</v>
      </c>
    </row>
    <row r="56" spans="1:17" s="58" customFormat="1" ht="18.75" customHeight="1" outlineLevel="1" x14ac:dyDescent="0.45">
      <c r="A56" s="57"/>
      <c r="B56" s="57"/>
      <c r="C56" s="57"/>
      <c r="D56" s="65" t="s">
        <v>64</v>
      </c>
      <c r="E56" s="65"/>
      <c r="F56" s="66" t="s">
        <v>169</v>
      </c>
      <c r="G56" s="65"/>
      <c r="H56" s="67">
        <f t="shared" ref="H56:Q56" si="10">SUM(H45:H55)</f>
        <v>16093.740000000003</v>
      </c>
      <c r="I56" s="67">
        <f t="shared" si="10"/>
        <v>18248.120000000003</v>
      </c>
      <c r="J56" s="67">
        <f t="shared" si="10"/>
        <v>20657.429999999997</v>
      </c>
      <c r="K56" s="67">
        <f t="shared" si="10"/>
        <v>23480.28</v>
      </c>
      <c r="L56" s="67">
        <f t="shared" si="10"/>
        <v>27926</v>
      </c>
      <c r="M56" s="67">
        <f t="shared" si="10"/>
        <v>31062.320942788876</v>
      </c>
      <c r="N56" s="67">
        <f t="shared" si="10"/>
        <v>34278.212036908757</v>
      </c>
      <c r="O56" s="67">
        <f t="shared" si="10"/>
        <v>37594.752609352872</v>
      </c>
      <c r="P56" s="67">
        <f t="shared" si="10"/>
        <v>40996.845758652278</v>
      </c>
      <c r="Q56" s="67">
        <f t="shared" si="10"/>
        <v>44471.988692740146</v>
      </c>
    </row>
    <row r="57" spans="1:17" s="58" customFormat="1" ht="18.75" customHeight="1" outlineLevel="1" x14ac:dyDescent="0.45">
      <c r="A57" s="57"/>
      <c r="B57" s="57"/>
      <c r="C57" s="57"/>
      <c r="D57" s="57"/>
      <c r="E57" s="57"/>
      <c r="G57" s="57"/>
      <c r="H57" s="68"/>
      <c r="I57" s="68"/>
      <c r="J57" s="68"/>
      <c r="K57" s="68"/>
      <c r="L57" s="68"/>
      <c r="M57" s="51"/>
      <c r="N57" s="51"/>
      <c r="O57" s="51"/>
      <c r="P57" s="51"/>
      <c r="Q57" s="51"/>
    </row>
    <row r="58" spans="1:17" s="58" customFormat="1" ht="18" customHeight="1" outlineLevel="1" x14ac:dyDescent="0.45">
      <c r="A58" s="57"/>
      <c r="B58" s="26" t="s">
        <v>194</v>
      </c>
      <c r="C58" s="57"/>
      <c r="D58" s="57"/>
      <c r="E58" s="57"/>
      <c r="F58" s="57"/>
      <c r="G58" s="57"/>
      <c r="H58" s="68"/>
      <c r="I58" s="68"/>
      <c r="J58" s="68"/>
      <c r="K58" s="68"/>
      <c r="L58" s="68"/>
      <c r="M58" s="51"/>
      <c r="N58" s="51"/>
      <c r="O58" s="51"/>
      <c r="P58" s="51"/>
      <c r="Q58" s="51"/>
    </row>
    <row r="59" spans="1:17" s="58" customFormat="1" ht="18" customHeight="1" outlineLevel="1" x14ac:dyDescent="0.45">
      <c r="A59" s="57"/>
      <c r="B59" s="57"/>
      <c r="C59" s="26" t="s">
        <v>195</v>
      </c>
      <c r="D59" s="57"/>
      <c r="E59" s="57"/>
      <c r="F59" s="57"/>
      <c r="G59" s="57"/>
      <c r="H59" s="68"/>
      <c r="I59" s="68"/>
      <c r="J59" s="68"/>
      <c r="K59" s="68"/>
      <c r="L59" s="68"/>
      <c r="M59" s="51"/>
      <c r="N59" s="51"/>
      <c r="O59" s="51"/>
      <c r="P59" s="51"/>
      <c r="Q59" s="51"/>
    </row>
    <row r="60" spans="1:17" s="58" customFormat="1" ht="18" customHeight="1" outlineLevel="1" x14ac:dyDescent="0.45">
      <c r="A60" s="57"/>
      <c r="B60" s="57"/>
      <c r="C60" s="57"/>
      <c r="D60" s="57" t="s">
        <v>164</v>
      </c>
      <c r="E60" s="57"/>
      <c r="F60" s="59" t="s">
        <v>169</v>
      </c>
      <c r="G60" s="57"/>
      <c r="H60" s="50">
        <f>'Balance Sheet'!C47+'Balance Sheet'!C49</f>
        <v>2791.55</v>
      </c>
      <c r="I60" s="50">
        <f>'Balance Sheet'!D47+'Balance Sheet'!D49</f>
        <v>3142.67</v>
      </c>
      <c r="J60" s="50">
        <f>'Balance Sheet'!E47+'Balance Sheet'!E49</f>
        <v>3432.55</v>
      </c>
      <c r="K60" s="50">
        <f>'Balance Sheet'!F47+'Balance Sheet'!F49</f>
        <v>3753.39</v>
      </c>
      <c r="L60" s="50">
        <f>'Balance Sheet'!G47+'Balance Sheet'!G49</f>
        <v>4413</v>
      </c>
      <c r="M60" s="51">
        <f>-M26*M19/365</f>
        <v>4808.3314481211837</v>
      </c>
      <c r="N60" s="51">
        <f>-N26*N19/365</f>
        <v>5135.2979865934249</v>
      </c>
      <c r="O60" s="51">
        <f>-O26*O19/365</f>
        <v>5432.1182102185248</v>
      </c>
      <c r="P60" s="51">
        <f>-P26*P19/365</f>
        <v>5698.9981778865613</v>
      </c>
      <c r="Q60" s="51">
        <f>-Q26*Q19/365</f>
        <v>5936.9911912941925</v>
      </c>
    </row>
    <row r="61" spans="1:17" s="58" customFormat="1" ht="18" customHeight="1" outlineLevel="1" x14ac:dyDescent="0.45">
      <c r="A61" s="57"/>
      <c r="B61" s="57"/>
      <c r="C61" s="57"/>
      <c r="D61" s="57" t="s">
        <v>196</v>
      </c>
      <c r="E61" s="57"/>
      <c r="F61" s="59" t="s">
        <v>169</v>
      </c>
      <c r="G61" s="57"/>
      <c r="H61" s="50">
        <f>'Balance Sheet'!C51+'Balance Sheet'!C52+'Balance Sheet'!C53+'Balance Sheet'!C54</f>
        <v>2647.25</v>
      </c>
      <c r="I61" s="50">
        <f>'Balance Sheet'!D51+'Balance Sheet'!D52+'Balance Sheet'!D53+'Balance Sheet'!D54</f>
        <v>3199.4900000000002</v>
      </c>
      <c r="J61" s="50">
        <f>'Balance Sheet'!E51+'Balance Sheet'!E52+'Balance Sheet'!E53+'Balance Sheet'!E54</f>
        <v>3721.0299999999997</v>
      </c>
      <c r="K61" s="50">
        <f>'Balance Sheet'!F51+'Balance Sheet'!F52+'Balance Sheet'!F53+'Balance Sheet'!F54</f>
        <v>4246.38</v>
      </c>
      <c r="L61" s="50">
        <f>'Balance Sheet'!G51+'Balance Sheet'!G52+'Balance Sheet'!G53+'Balance Sheet'!G54</f>
        <v>5832</v>
      </c>
      <c r="M61" s="51">
        <f>L61*(M25/L25)</f>
        <v>6298.56</v>
      </c>
      <c r="N61" s="51">
        <f>M61*(N25/M25)</f>
        <v>6726.8620800000008</v>
      </c>
      <c r="O61" s="51">
        <f>N61*(O25/N25)</f>
        <v>7115.6747082240017</v>
      </c>
      <c r="P61" s="51">
        <f>O61*(P25/O25)</f>
        <v>7465.2678066390463</v>
      </c>
      <c r="Q61" s="51">
        <f>P61*(Q25/P25)</f>
        <v>7777.0211228781973</v>
      </c>
    </row>
    <row r="62" spans="1:17" s="58" customFormat="1" ht="18" customHeight="1" outlineLevel="1" x14ac:dyDescent="0.45">
      <c r="A62" s="57"/>
      <c r="B62" s="57"/>
      <c r="C62" s="57" t="s">
        <v>197</v>
      </c>
      <c r="D62" s="57"/>
      <c r="E62" s="57"/>
      <c r="F62" s="59" t="s">
        <v>169</v>
      </c>
      <c r="G62" s="57"/>
      <c r="H62" s="50"/>
      <c r="I62" s="50"/>
      <c r="J62" s="50"/>
      <c r="K62" s="50"/>
      <c r="L62" s="50"/>
      <c r="M62" s="51"/>
      <c r="N62" s="51"/>
      <c r="O62" s="51"/>
      <c r="P62" s="51"/>
      <c r="Q62" s="51"/>
    </row>
    <row r="63" spans="1:17" s="58" customFormat="1" ht="18" customHeight="1" outlineLevel="1" x14ac:dyDescent="0.45">
      <c r="A63" s="57"/>
      <c r="B63" s="57"/>
      <c r="C63" s="57"/>
      <c r="D63" s="57" t="s">
        <v>198</v>
      </c>
      <c r="E63" s="57"/>
      <c r="F63" s="59" t="s">
        <v>169</v>
      </c>
      <c r="G63" s="57"/>
      <c r="H63" s="50">
        <f>'Balance Sheet'!C45+'Balance Sheet'!C39</f>
        <v>29.89</v>
      </c>
      <c r="I63" s="50">
        <f>'Balance Sheet'!D45+'Balance Sheet'!D39</f>
        <v>28.82</v>
      </c>
      <c r="J63" s="50">
        <f>'Balance Sheet'!E45+'Balance Sheet'!E39</f>
        <v>32.36</v>
      </c>
      <c r="K63" s="50">
        <f>'Balance Sheet'!F45+'Balance Sheet'!F39</f>
        <v>34.36</v>
      </c>
      <c r="L63" s="50">
        <f>'Balance Sheet'!G45+'Balance Sheet'!G39</f>
        <v>42</v>
      </c>
      <c r="M63" s="50">
        <f>L63</f>
        <v>42</v>
      </c>
      <c r="N63" s="50">
        <f>M63</f>
        <v>42</v>
      </c>
      <c r="O63" s="50">
        <f>N63</f>
        <v>42</v>
      </c>
      <c r="P63" s="50">
        <f>O63</f>
        <v>42</v>
      </c>
      <c r="Q63" s="50">
        <f>P63</f>
        <v>42</v>
      </c>
    </row>
    <row r="64" spans="1:17" s="58" customFormat="1" ht="18" customHeight="1" outlineLevel="1" x14ac:dyDescent="0.45">
      <c r="A64" s="57"/>
      <c r="B64" s="57"/>
      <c r="C64" s="57"/>
      <c r="D64" s="57" t="s">
        <v>199</v>
      </c>
      <c r="E64" s="57"/>
      <c r="F64" s="59" t="s">
        <v>169</v>
      </c>
      <c r="G64" s="57"/>
      <c r="H64" s="50">
        <f>'Balance Sheet'!C40+'Balance Sheet'!C41</f>
        <v>516.66999999999996</v>
      </c>
      <c r="I64" s="50">
        <f>'Balance Sheet'!D40+'Balance Sheet'!D41</f>
        <v>445.98</v>
      </c>
      <c r="J64" s="50">
        <f>'Balance Sheet'!E40+'Balance Sheet'!E41</f>
        <v>452.4</v>
      </c>
      <c r="K64" s="50">
        <f>'Balance Sheet'!F40+'Balance Sheet'!F41</f>
        <v>592.65000000000009</v>
      </c>
      <c r="L64" s="50">
        <f>'Balance Sheet'!G40+'Balance Sheet'!G41</f>
        <v>851</v>
      </c>
      <c r="M64" s="51">
        <f>L64*(M25/L25)</f>
        <v>919.08</v>
      </c>
      <c r="N64" s="51">
        <f>M64*(N25/M25)</f>
        <v>981.57744000000014</v>
      </c>
      <c r="O64" s="51">
        <f>N64*(O25/N25)</f>
        <v>1038.3126160320003</v>
      </c>
      <c r="P64" s="51">
        <f>O64*(P25/O25)</f>
        <v>1089.3249148576524</v>
      </c>
      <c r="Q64" s="51">
        <f>P64*(Q25/P25)</f>
        <v>1134.8156679645656</v>
      </c>
    </row>
    <row r="65" spans="1:17" s="58" customFormat="1" ht="18" customHeight="1" outlineLevel="1" x14ac:dyDescent="0.45">
      <c r="A65" s="57"/>
      <c r="B65" s="57"/>
      <c r="C65" s="57"/>
      <c r="D65" s="60" t="s">
        <v>87</v>
      </c>
      <c r="E65" s="60"/>
      <c r="F65" s="61" t="s">
        <v>169</v>
      </c>
      <c r="G65" s="60"/>
      <c r="H65" s="62">
        <f t="shared" ref="H65:Q65" si="11">SUM(H60:H64)</f>
        <v>5985.3600000000006</v>
      </c>
      <c r="I65" s="62">
        <f t="shared" si="11"/>
        <v>6816.9599999999991</v>
      </c>
      <c r="J65" s="62">
        <f t="shared" si="11"/>
        <v>7638.3399999999992</v>
      </c>
      <c r="K65" s="62">
        <f t="shared" si="11"/>
        <v>8626.7800000000007</v>
      </c>
      <c r="L65" s="62">
        <f t="shared" si="11"/>
        <v>11138</v>
      </c>
      <c r="M65" s="62">
        <f t="shared" si="11"/>
        <v>12067.971448121183</v>
      </c>
      <c r="N65" s="62">
        <f t="shared" si="11"/>
        <v>12885.737506593427</v>
      </c>
      <c r="O65" s="62">
        <f t="shared" si="11"/>
        <v>13628.105534474527</v>
      </c>
      <c r="P65" s="62">
        <f t="shared" si="11"/>
        <v>14295.59089938326</v>
      </c>
      <c r="Q65" s="62">
        <f t="shared" si="11"/>
        <v>14890.827982136954</v>
      </c>
    </row>
    <row r="66" spans="1:17" s="58" customFormat="1" ht="18" customHeight="1" outlineLevel="1" x14ac:dyDescent="0.45">
      <c r="A66" s="57"/>
      <c r="B66" s="57"/>
      <c r="C66" s="26" t="s">
        <v>200</v>
      </c>
      <c r="D66" s="57"/>
      <c r="E66" s="57"/>
      <c r="F66" s="59"/>
      <c r="G66" s="57"/>
      <c r="H66" s="68"/>
      <c r="I66" s="68"/>
      <c r="J66" s="68"/>
      <c r="K66" s="68"/>
      <c r="L66" s="68"/>
      <c r="M66" s="51"/>
      <c r="N66" s="51"/>
      <c r="O66" s="51"/>
      <c r="P66" s="51"/>
      <c r="Q66" s="51"/>
    </row>
    <row r="67" spans="1:17" s="58" customFormat="1" ht="18" customHeight="1" outlineLevel="1" x14ac:dyDescent="0.45">
      <c r="A67" s="57"/>
      <c r="B67" s="57"/>
      <c r="C67" s="57"/>
      <c r="D67" s="57" t="s">
        <v>201</v>
      </c>
      <c r="E67" s="57"/>
      <c r="F67" s="59" t="s">
        <v>169</v>
      </c>
      <c r="G67" s="57"/>
      <c r="H67" s="50">
        <f>'Balance Sheet'!C33</f>
        <v>348.08</v>
      </c>
      <c r="I67" s="50">
        <f>'Balance Sheet'!D33</f>
        <v>348.08</v>
      </c>
      <c r="J67" s="50">
        <f>'Balance Sheet'!E33</f>
        <v>348.08</v>
      </c>
      <c r="K67" s="50">
        <f>'Balance Sheet'!F33</f>
        <v>348.08</v>
      </c>
      <c r="L67" s="50">
        <f>'Balance Sheet'!G33</f>
        <v>348.08</v>
      </c>
      <c r="M67" s="50">
        <f>L67</f>
        <v>348.08</v>
      </c>
      <c r="N67" s="50">
        <f>M67</f>
        <v>348.08</v>
      </c>
      <c r="O67" s="50">
        <f>N67</f>
        <v>348.08</v>
      </c>
      <c r="P67" s="50">
        <f>O67</f>
        <v>348.08</v>
      </c>
      <c r="Q67" s="50">
        <f>P67</f>
        <v>348.08</v>
      </c>
    </row>
    <row r="68" spans="1:17" s="58" customFormat="1" ht="18" customHeight="1" outlineLevel="1" x14ac:dyDescent="0.45">
      <c r="A68" s="57"/>
      <c r="B68" s="57"/>
      <c r="C68" s="57"/>
      <c r="D68" s="57" t="s">
        <v>202</v>
      </c>
      <c r="E68" s="57"/>
      <c r="F68" s="59" t="s">
        <v>169</v>
      </c>
      <c r="G68" s="57"/>
      <c r="H68" s="50">
        <f>'Balance Sheet'!C34</f>
        <v>9760.2999999999993</v>
      </c>
      <c r="I68" s="50">
        <f>'Balance Sheet'!D34</f>
        <v>11083.08</v>
      </c>
      <c r="J68" s="50">
        <f>'Balance Sheet'!E34</f>
        <v>12671.01</v>
      </c>
      <c r="K68" s="50">
        <f>'Balance Sheet'!F34</f>
        <v>14505.42</v>
      </c>
      <c r="L68" s="50">
        <f>'Balance Sheet'!G34</f>
        <v>16439.919999999998</v>
      </c>
      <c r="M68" s="51">
        <f>L68+M38+M98</f>
        <v>18646.269494667697</v>
      </c>
      <c r="N68" s="51">
        <f>M68+N38+N98</f>
        <v>21044.394530315338</v>
      </c>
      <c r="O68" s="51">
        <f>N68+O38+O98</f>
        <v>23618.567074878338</v>
      </c>
      <c r="P68" s="51">
        <f>O68+P38+P98</f>
        <v>26353.174859269016</v>
      </c>
      <c r="Q68" s="51">
        <f>P68+Q38+Q98</f>
        <v>29233.080710603201</v>
      </c>
    </row>
    <row r="69" spans="1:17" s="58" customFormat="1" ht="18" customHeight="1" outlineLevel="1" x14ac:dyDescent="0.45">
      <c r="A69" s="57"/>
      <c r="B69" s="57"/>
      <c r="C69" s="57"/>
      <c r="D69" s="69" t="s">
        <v>203</v>
      </c>
      <c r="E69" s="69"/>
      <c r="F69" s="70" t="s">
        <v>169</v>
      </c>
      <c r="G69" s="69"/>
      <c r="H69" s="71">
        <f t="shared" ref="H69:Q69" si="12">SUM(H67:H68)</f>
        <v>10108.379999999999</v>
      </c>
      <c r="I69" s="71">
        <f t="shared" si="12"/>
        <v>11431.16</v>
      </c>
      <c r="J69" s="71">
        <f t="shared" si="12"/>
        <v>13019.09</v>
      </c>
      <c r="K69" s="71">
        <f t="shared" si="12"/>
        <v>14853.5</v>
      </c>
      <c r="L69" s="71">
        <f t="shared" si="12"/>
        <v>16788</v>
      </c>
      <c r="M69" s="71">
        <f t="shared" si="12"/>
        <v>18994.349494667698</v>
      </c>
      <c r="N69" s="71">
        <f t="shared" si="12"/>
        <v>21392.47453031534</v>
      </c>
      <c r="O69" s="71">
        <f t="shared" si="12"/>
        <v>23966.647074878339</v>
      </c>
      <c r="P69" s="71">
        <f t="shared" si="12"/>
        <v>26701.254859269018</v>
      </c>
      <c r="Q69" s="71">
        <f t="shared" si="12"/>
        <v>29581.160710603202</v>
      </c>
    </row>
    <row r="70" spans="1:17" s="58" customFormat="1" ht="18" customHeight="1" outlineLevel="1" x14ac:dyDescent="0.45">
      <c r="A70" s="57"/>
      <c r="B70" s="57"/>
      <c r="C70" s="57"/>
      <c r="D70" s="57" t="s">
        <v>204</v>
      </c>
      <c r="E70" s="57"/>
      <c r="F70" s="59" t="s">
        <v>169</v>
      </c>
      <c r="G70" s="57"/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</row>
    <row r="71" spans="1:17" s="58" customFormat="1" ht="18.75" customHeight="1" outlineLevel="1" x14ac:dyDescent="0.45">
      <c r="A71" s="57"/>
      <c r="B71" s="57"/>
      <c r="C71" s="57"/>
      <c r="D71" s="65" t="s">
        <v>205</v>
      </c>
      <c r="E71" s="65"/>
      <c r="F71" s="66" t="s">
        <v>169</v>
      </c>
      <c r="G71" s="65"/>
      <c r="H71" s="67">
        <f t="shared" ref="H71:Q71" si="13">SUM(H65,H69)</f>
        <v>16093.74</v>
      </c>
      <c r="I71" s="67">
        <f t="shared" si="13"/>
        <v>18248.12</v>
      </c>
      <c r="J71" s="67">
        <f t="shared" si="13"/>
        <v>20657.43</v>
      </c>
      <c r="K71" s="67">
        <f t="shared" si="13"/>
        <v>23480.28</v>
      </c>
      <c r="L71" s="67">
        <f t="shared" si="13"/>
        <v>27926</v>
      </c>
      <c r="M71" s="67">
        <f t="shared" si="13"/>
        <v>31062.32094278888</v>
      </c>
      <c r="N71" s="67">
        <f t="shared" si="13"/>
        <v>34278.212036908764</v>
      </c>
      <c r="O71" s="67">
        <f t="shared" si="13"/>
        <v>37594.752609352865</v>
      </c>
      <c r="P71" s="67">
        <f t="shared" si="13"/>
        <v>40996.845758652278</v>
      </c>
      <c r="Q71" s="67">
        <f t="shared" si="13"/>
        <v>44471.988692740153</v>
      </c>
    </row>
    <row r="72" spans="1:17" s="58" customFormat="1" ht="18.75" customHeight="1" outlineLevel="1" x14ac:dyDescent="0.45">
      <c r="A72" s="57"/>
      <c r="B72" s="57"/>
      <c r="C72" s="57"/>
      <c r="D72" s="57"/>
      <c r="E72" s="57"/>
      <c r="F72" s="57"/>
      <c r="G72" s="57"/>
      <c r="H72" s="50"/>
      <c r="I72" s="50"/>
      <c r="J72" s="50"/>
      <c r="K72" s="50"/>
      <c r="L72" s="50"/>
      <c r="M72" s="51"/>
      <c r="N72" s="51"/>
      <c r="O72" s="51"/>
      <c r="P72" s="51"/>
      <c r="Q72" s="51"/>
    </row>
    <row r="73" spans="1:17" s="58" customFormat="1" ht="18" customHeight="1" outlineLevel="1" x14ac:dyDescent="0.45">
      <c r="A73" s="57"/>
      <c r="B73" s="57"/>
      <c r="C73" s="57"/>
      <c r="D73" s="57" t="s">
        <v>206</v>
      </c>
      <c r="E73" s="57"/>
      <c r="F73" s="57"/>
      <c r="G73" s="57"/>
      <c r="H73" s="50">
        <f t="shared" ref="H73:Q73" si="14">ABS(H56-H71)</f>
        <v>3.637978807091713E-12</v>
      </c>
      <c r="I73" s="50">
        <f t="shared" si="14"/>
        <v>3.637978807091713E-12</v>
      </c>
      <c r="J73" s="50">
        <f t="shared" si="14"/>
        <v>3.637978807091713E-12</v>
      </c>
      <c r="K73" s="50">
        <f t="shared" si="14"/>
        <v>0</v>
      </c>
      <c r="L73" s="50">
        <f t="shared" si="14"/>
        <v>0</v>
      </c>
      <c r="M73" s="50">
        <f t="shared" si="14"/>
        <v>3.637978807091713E-12</v>
      </c>
      <c r="N73" s="50">
        <f t="shared" si="14"/>
        <v>7.2759576141834259E-12</v>
      </c>
      <c r="O73" s="50">
        <f t="shared" si="14"/>
        <v>7.2759576141834259E-12</v>
      </c>
      <c r="P73" s="50">
        <f t="shared" si="14"/>
        <v>0</v>
      </c>
      <c r="Q73" s="50">
        <f t="shared" si="14"/>
        <v>7.2759576141834259E-12</v>
      </c>
    </row>
    <row r="74" spans="1:17" s="58" customFormat="1" ht="18" customHeight="1" outlineLevel="1" x14ac:dyDescent="0.45">
      <c r="A74" s="57"/>
      <c r="B74" s="57"/>
      <c r="C74" s="57"/>
      <c r="D74" s="57"/>
      <c r="E74" s="57"/>
      <c r="F74" s="57"/>
      <c r="G74" s="57"/>
      <c r="H74" s="50"/>
      <c r="I74" s="50"/>
      <c r="J74" s="50"/>
      <c r="K74" s="50"/>
      <c r="L74" s="50"/>
      <c r="M74" s="63"/>
      <c r="N74" s="63"/>
      <c r="O74" s="63"/>
      <c r="P74" s="63"/>
      <c r="Q74" s="63"/>
    </row>
    <row r="75" spans="1:17" s="58" customFormat="1" ht="18" customHeight="1" x14ac:dyDescent="0.45">
      <c r="A75" s="57"/>
      <c r="B75" s="57"/>
      <c r="C75" s="57"/>
      <c r="D75" s="57"/>
      <c r="E75" s="57"/>
      <c r="F75" s="57"/>
      <c r="G75" s="57"/>
      <c r="H75" s="50"/>
      <c r="I75" s="50"/>
      <c r="J75" s="50"/>
      <c r="K75" s="50"/>
      <c r="L75" s="50"/>
      <c r="M75" s="63"/>
      <c r="N75" s="63"/>
      <c r="O75" s="63"/>
      <c r="P75" s="63"/>
      <c r="Q75" s="63"/>
    </row>
    <row r="76" spans="1:17" s="58" customFormat="1" ht="18" customHeight="1" x14ac:dyDescent="0.45">
      <c r="A76" s="57"/>
      <c r="B76" s="57"/>
      <c r="C76" s="57"/>
      <c r="D76" s="57"/>
      <c r="E76" s="57"/>
      <c r="F76" s="57"/>
      <c r="G76" s="57"/>
      <c r="H76" s="50"/>
      <c r="I76" s="50"/>
      <c r="J76" s="50"/>
      <c r="K76" s="50"/>
      <c r="L76" s="50"/>
      <c r="M76" s="63"/>
      <c r="N76" s="63"/>
      <c r="O76" s="63"/>
      <c r="P76" s="63"/>
      <c r="Q76" s="63"/>
    </row>
    <row r="77" spans="1:17" s="58" customFormat="1" ht="20.25" customHeight="1" x14ac:dyDescent="0.45">
      <c r="A77" s="49" t="s">
        <v>207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</row>
    <row r="78" spans="1:17" s="58" customFormat="1" ht="18" customHeight="1" x14ac:dyDescent="0.45">
      <c r="A78" s="57"/>
      <c r="B78" s="57"/>
      <c r="C78" s="57"/>
      <c r="D78" s="57"/>
      <c r="E78" s="57"/>
      <c r="F78" s="57"/>
      <c r="G78" s="57"/>
      <c r="H78" s="50"/>
      <c r="I78" s="50"/>
      <c r="J78" s="50"/>
      <c r="K78" s="50"/>
      <c r="L78" s="50"/>
      <c r="M78" s="63"/>
      <c r="N78" s="63"/>
      <c r="O78" s="63"/>
      <c r="P78" s="63"/>
      <c r="Q78" s="63"/>
    </row>
    <row r="79" spans="1:17" s="58" customFormat="1" ht="18" customHeight="1" outlineLevel="1" x14ac:dyDescent="0.45">
      <c r="A79" s="57"/>
      <c r="B79" s="57"/>
      <c r="C79" s="57" t="s">
        <v>208</v>
      </c>
      <c r="D79" s="57"/>
      <c r="E79" s="57"/>
      <c r="F79" s="57"/>
      <c r="G79" s="57"/>
      <c r="H79" s="50"/>
      <c r="I79" s="50"/>
      <c r="J79" s="50"/>
      <c r="K79" s="50"/>
      <c r="L79" s="50"/>
      <c r="M79" s="63"/>
      <c r="N79" s="63"/>
      <c r="O79" s="63"/>
      <c r="P79" s="63"/>
      <c r="Q79" s="63"/>
    </row>
    <row r="80" spans="1:17" s="58" customFormat="1" ht="18" customHeight="1" outlineLevel="1" x14ac:dyDescent="0.45">
      <c r="A80" s="57"/>
      <c r="B80" s="57"/>
      <c r="C80" s="57"/>
      <c r="D80" s="57" t="s">
        <v>209</v>
      </c>
      <c r="E80" s="57"/>
      <c r="F80" s="59" t="s">
        <v>169</v>
      </c>
      <c r="G80" s="57"/>
      <c r="H80" s="50">
        <f>'C&amp;F'!C6</f>
        <v>2010.07</v>
      </c>
      <c r="I80" s="50">
        <f>'C&amp;F'!D6</f>
        <v>2452.69</v>
      </c>
      <c r="J80" s="50">
        <f>'C&amp;F'!E6</f>
        <v>2803.49</v>
      </c>
      <c r="K80" s="50">
        <f>'C&amp;F'!F6</f>
        <v>3306.5</v>
      </c>
      <c r="L80" s="50">
        <f>'C&amp;F'!G6</f>
        <v>3459</v>
      </c>
      <c r="M80" s="51">
        <f>M38</f>
        <v>2906.4652025904438</v>
      </c>
      <c r="N80" s="51">
        <f>N38</f>
        <v>3159.0946875896534</v>
      </c>
      <c r="O80" s="51">
        <f>O38</f>
        <v>3391.005343585829</v>
      </c>
      <c r="P80" s="51">
        <f>P38</f>
        <v>3602.3496673003378</v>
      </c>
      <c r="Q80" s="51">
        <f>Q38</f>
        <v>3793.7535117935126</v>
      </c>
    </row>
    <row r="81" spans="1:17" s="58" customFormat="1" ht="18" customHeight="1" outlineLevel="1" x14ac:dyDescent="0.45">
      <c r="A81" s="57"/>
      <c r="B81" s="57"/>
      <c r="C81" s="57"/>
      <c r="D81" s="57" t="s">
        <v>210</v>
      </c>
      <c r="E81" s="57"/>
      <c r="F81" s="59" t="s">
        <v>169</v>
      </c>
      <c r="G81" s="57"/>
      <c r="H81" s="50">
        <f>'C&amp;F'!C8</f>
        <v>435.34</v>
      </c>
      <c r="I81" s="50">
        <f>'C&amp;F'!D8</f>
        <v>452.61</v>
      </c>
      <c r="J81" s="50">
        <f>'C&amp;F'!E8</f>
        <v>496.78</v>
      </c>
      <c r="K81" s="50">
        <f>'C&amp;F'!F8</f>
        <v>543.24</v>
      </c>
      <c r="L81" s="50">
        <f>'C&amp;F'!G8</f>
        <v>583</v>
      </c>
      <c r="M81" s="51">
        <f>-M32</f>
        <v>649.84071987711695</v>
      </c>
      <c r="N81" s="51">
        <f>-N32</f>
        <v>620.34002629718805</v>
      </c>
      <c r="O81" s="51">
        <f>-O32</f>
        <v>590.10114133169395</v>
      </c>
      <c r="P81" s="51">
        <f>-P32</f>
        <v>559.11449471082187</v>
      </c>
      <c r="Q81" s="51">
        <f>-Q32</f>
        <v>527.53763572035575</v>
      </c>
    </row>
    <row r="82" spans="1:17" s="58" customFormat="1" ht="18" customHeight="1" outlineLevel="1" x14ac:dyDescent="0.45">
      <c r="A82" s="57"/>
      <c r="B82" s="57"/>
      <c r="C82" s="57"/>
      <c r="D82" s="57" t="s">
        <v>211</v>
      </c>
      <c r="E82" s="57"/>
      <c r="F82" s="59" t="s">
        <v>169</v>
      </c>
      <c r="G82" s="57"/>
      <c r="H82" s="50">
        <f>'C&amp;F'!C9+'C&amp;F'!C11+'C&amp;F'!C12+'C&amp;F'!C13+'C&amp;F'!C15+'C&amp;F'!C16+'C&amp;F'!C17+'C&amp;F'!C18</f>
        <v>-185.05</v>
      </c>
      <c r="I82" s="50">
        <f>'C&amp;F'!D9+'C&amp;F'!D11+'C&amp;F'!D12+'C&amp;F'!D13+'C&amp;F'!D15+'C&amp;F'!D16+'C&amp;F'!D17+'C&amp;F'!D18</f>
        <v>-296.11000000000007</v>
      </c>
      <c r="J82" s="50">
        <f>'C&amp;F'!E9+'C&amp;F'!E11+'C&amp;F'!E12+'C&amp;F'!E13+'C&amp;F'!E15+'C&amp;F'!E16+'C&amp;F'!E17+'C&amp;F'!E18</f>
        <v>-259.73</v>
      </c>
      <c r="K82" s="50">
        <f>'C&amp;F'!F9+'C&amp;F'!F11+'C&amp;F'!F12+'C&amp;F'!F13+'C&amp;F'!F15+'C&amp;F'!F16+'C&amp;F'!F17+'C&amp;F'!F18</f>
        <v>-274.61</v>
      </c>
      <c r="L82" s="50">
        <f>'C&amp;F'!G9+'C&amp;F'!G11+'C&amp;F'!G12+'C&amp;F'!G13+'C&amp;F'!G15+'C&amp;F'!G16+'C&amp;F'!G17+'C&amp;F'!G18</f>
        <v>-363</v>
      </c>
      <c r="M82" s="51">
        <f>-M34-M35</f>
        <v>-609.12621206943618</v>
      </c>
      <c r="N82" s="51">
        <f>-N34-N35</f>
        <v>-650.74671449015784</v>
      </c>
      <c r="O82" s="51">
        <f>-O34-O35</f>
        <v>-688.529806587689</v>
      </c>
      <c r="P82" s="51">
        <f>-P34-P35</f>
        <v>-722.50171818534216</v>
      </c>
      <c r="Q82" s="51">
        <f>-Q34-Q35</f>
        <v>-752.79652705762123</v>
      </c>
    </row>
    <row r="83" spans="1:17" s="58" customFormat="1" ht="18" customHeight="1" outlineLevel="1" x14ac:dyDescent="0.45">
      <c r="A83" s="57"/>
      <c r="B83" s="57"/>
      <c r="C83" s="57"/>
      <c r="D83" s="57" t="s">
        <v>212</v>
      </c>
      <c r="E83" s="57"/>
      <c r="F83" s="59" t="s">
        <v>169</v>
      </c>
      <c r="G83" s="57"/>
      <c r="H83" s="51">
        <f>'C&amp;F'!C23+'C&amp;F'!C24+'C&amp;F'!C25+'C&amp;F'!C26+'C&amp;F'!C27+'C&amp;F'!C29+'C&amp;F'!C30+'C&amp;F'!C31+'C&amp;F'!C32+'C&amp;F'!C35</f>
        <v>-1635.5</v>
      </c>
      <c r="I83" s="51">
        <f>'C&amp;F'!D23+'C&amp;F'!D24+'C&amp;F'!D25+'C&amp;F'!D26+'C&amp;F'!D27+'C&amp;F'!D29+'C&amp;F'!D30+'C&amp;F'!D31+'C&amp;F'!D32+'C&amp;F'!D35</f>
        <v>-2226.8100000000004</v>
      </c>
      <c r="J83" s="51">
        <f>'C&amp;F'!E23+'C&amp;F'!E24+'C&amp;F'!E25+'C&amp;F'!E26+'C&amp;F'!E27+'C&amp;F'!E29+'C&amp;F'!E30+'C&amp;F'!E31+'C&amp;F'!E32+'C&amp;F'!E35</f>
        <v>-1625.5700000000002</v>
      </c>
      <c r="K83" s="51">
        <f>'C&amp;F'!F23+'C&amp;F'!F24+'C&amp;F'!F25+'C&amp;F'!F26+'C&amp;F'!F27+'C&amp;F'!F29+'C&amp;F'!F30+'C&amp;F'!F31+'C&amp;F'!F32+'C&amp;F'!F35</f>
        <v>-1703.66</v>
      </c>
      <c r="L83" s="51">
        <f>'C&amp;F'!G23+'C&amp;F'!G24+'C&amp;F'!G25+'C&amp;F'!G26+'C&amp;F'!G27+'C&amp;F'!G29+'C&amp;F'!G30+'C&amp;F'!G31+'C&amp;F'!G32+'C&amp;F'!G35</f>
        <v>-2753</v>
      </c>
      <c r="M83" s="51">
        <f>M115</f>
        <v>261.39034737101792</v>
      </c>
      <c r="N83" s="51">
        <f>N115</f>
        <v>-60.918085419867566</v>
      </c>
      <c r="O83" s="51">
        <f>O115</f>
        <v>33.20793214110563</v>
      </c>
      <c r="P83" s="51">
        <f>P115</f>
        <v>25.039117784988775</v>
      </c>
      <c r="Q83" s="51">
        <f>Q115</f>
        <v>-3.6424509622893311</v>
      </c>
    </row>
    <row r="84" spans="1:17" s="58" customFormat="1" ht="18" customHeight="1" outlineLevel="1" x14ac:dyDescent="0.45">
      <c r="A84" s="57"/>
      <c r="B84" s="57"/>
      <c r="C84" s="57"/>
      <c r="D84" s="72" t="s">
        <v>213</v>
      </c>
      <c r="E84" s="72"/>
      <c r="F84" s="73" t="s">
        <v>169</v>
      </c>
      <c r="G84" s="72"/>
      <c r="H84" s="74">
        <f t="shared" ref="H84:Q84" si="15">SUM(H80:H83)</f>
        <v>624.85999999999967</v>
      </c>
      <c r="I84" s="74">
        <f t="shared" si="15"/>
        <v>382.37999999999965</v>
      </c>
      <c r="J84" s="74">
        <f t="shared" si="15"/>
        <v>1414.9699999999993</v>
      </c>
      <c r="K84" s="74">
        <f t="shared" si="15"/>
        <v>1871.4699999999996</v>
      </c>
      <c r="L84" s="74">
        <f t="shared" si="15"/>
        <v>926</v>
      </c>
      <c r="M84" s="74">
        <f t="shared" si="15"/>
        <v>3208.5700577691423</v>
      </c>
      <c r="N84" s="74">
        <f t="shared" si="15"/>
        <v>3067.769913976816</v>
      </c>
      <c r="O84" s="74">
        <f t="shared" si="15"/>
        <v>3325.7846104709392</v>
      </c>
      <c r="P84" s="74">
        <f t="shared" si="15"/>
        <v>3464.0015616108062</v>
      </c>
      <c r="Q84" s="74">
        <f t="shared" si="15"/>
        <v>3564.8521694939573</v>
      </c>
    </row>
    <row r="85" spans="1:17" s="58" customFormat="1" ht="18" customHeight="1" outlineLevel="1" x14ac:dyDescent="0.45">
      <c r="A85" s="57"/>
      <c r="B85" s="57"/>
      <c r="C85" s="57"/>
      <c r="D85" s="57"/>
      <c r="E85" s="57"/>
      <c r="F85" s="59"/>
      <c r="G85" s="57"/>
      <c r="H85" s="50"/>
      <c r="I85" s="50"/>
      <c r="J85" s="50"/>
      <c r="K85" s="50"/>
      <c r="L85" s="50"/>
      <c r="M85" s="51"/>
      <c r="N85" s="51"/>
      <c r="O85" s="51"/>
      <c r="P85" s="51"/>
      <c r="Q85" s="51"/>
    </row>
    <row r="86" spans="1:17" s="58" customFormat="1" ht="18" customHeight="1" outlineLevel="1" x14ac:dyDescent="0.45">
      <c r="A86" s="57"/>
      <c r="B86" s="57"/>
      <c r="C86" s="57" t="s">
        <v>214</v>
      </c>
      <c r="D86" s="57"/>
      <c r="E86" s="57"/>
      <c r="F86" s="59" t="s">
        <v>169</v>
      </c>
      <c r="G86" s="57"/>
      <c r="H86" s="50"/>
      <c r="I86" s="50"/>
      <c r="J86" s="50"/>
      <c r="K86" s="50"/>
      <c r="L86" s="50"/>
      <c r="M86" s="51"/>
      <c r="N86" s="51"/>
      <c r="O86" s="51"/>
      <c r="P86" s="51"/>
      <c r="Q86" s="51"/>
    </row>
    <row r="87" spans="1:17" s="58" customFormat="1" ht="18" customHeight="1" outlineLevel="1" x14ac:dyDescent="0.45">
      <c r="A87" s="57"/>
      <c r="B87" s="57"/>
      <c r="C87" s="57"/>
      <c r="D87" s="57" t="s">
        <v>215</v>
      </c>
      <c r="E87" s="57"/>
      <c r="F87" s="59" t="s">
        <v>169</v>
      </c>
      <c r="G87" s="57"/>
      <c r="H87" s="50">
        <f>'C&amp;F'!C41</f>
        <v>-382.19</v>
      </c>
      <c r="I87" s="50">
        <f>'C&amp;F'!D41</f>
        <v>-1069.2</v>
      </c>
      <c r="J87" s="50">
        <f>'C&amp;F'!E41</f>
        <v>-932.76</v>
      </c>
      <c r="K87" s="50">
        <f>'C&amp;F'!F41</f>
        <v>-1005.5</v>
      </c>
      <c r="L87" s="50">
        <f>'C&amp;F'!G41</f>
        <v>-936</v>
      </c>
      <c r="M87" s="51">
        <f>-M119</f>
        <v>-414.00430879978154</v>
      </c>
      <c r="N87" s="51">
        <f>-N119</f>
        <v>-378.60231643892166</v>
      </c>
      <c r="O87" s="51">
        <f>-O119</f>
        <v>-342.38562540362</v>
      </c>
      <c r="P87" s="51">
        <f>-P119</f>
        <v>-306.68066371529608</v>
      </c>
      <c r="Q87" s="51">
        <f>-Q119</f>
        <v>-272.45153956938162</v>
      </c>
    </row>
    <row r="88" spans="1:17" s="58" customFormat="1" ht="18" customHeight="1" outlineLevel="1" x14ac:dyDescent="0.45">
      <c r="A88" s="57"/>
      <c r="B88" s="57"/>
      <c r="C88" s="57"/>
      <c r="D88" s="57" t="s">
        <v>216</v>
      </c>
      <c r="E88" s="57"/>
      <c r="F88" s="59" t="s">
        <v>169</v>
      </c>
      <c r="G88" s="57"/>
      <c r="H88" s="50">
        <f>'C&amp;F'!C43</f>
        <v>6.58</v>
      </c>
      <c r="I88" s="50">
        <f>'C&amp;F'!D43</f>
        <v>15.72</v>
      </c>
      <c r="J88" s="50">
        <f>'C&amp;F'!E43</f>
        <v>8.34</v>
      </c>
      <c r="K88" s="50">
        <f>'C&amp;F'!F43</f>
        <v>10.67</v>
      </c>
      <c r="L88" s="50">
        <f>'C&amp;F'!G43</f>
        <v>8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</row>
    <row r="89" spans="1:17" s="58" customFormat="1" ht="18" customHeight="1" outlineLevel="1" x14ac:dyDescent="0.45">
      <c r="A89" s="57"/>
      <c r="B89" s="57"/>
      <c r="C89" s="57"/>
      <c r="D89" s="57" t="s">
        <v>217</v>
      </c>
      <c r="E89" s="57"/>
      <c r="F89" s="59" t="s">
        <v>169</v>
      </c>
      <c r="G89" s="57"/>
      <c r="H89" s="50">
        <f>'C&amp;F'!C45+'C&amp;F'!C44</f>
        <v>185.31999999999971</v>
      </c>
      <c r="I89" s="50">
        <f>'C&amp;F'!D45+'C&amp;F'!D44</f>
        <v>689.69000000000051</v>
      </c>
      <c r="J89" s="50">
        <f>'C&amp;F'!E45+'C&amp;F'!E44</f>
        <v>740.61999999999989</v>
      </c>
      <c r="K89" s="50">
        <f>'C&amp;F'!F45+'C&amp;F'!F44</f>
        <v>-725.28999999999974</v>
      </c>
      <c r="L89" s="50">
        <f>'C&amp;F'!G45+'C&amp;F'!G44</f>
        <v>1105</v>
      </c>
      <c r="M89" s="51">
        <f>L54-M54</f>
        <v>-110.88000000000011</v>
      </c>
      <c r="N89" s="51">
        <f>M54-N54</f>
        <v>-101.78784000000019</v>
      </c>
      <c r="O89" s="51">
        <f>N54-O54</f>
        <v>-92.403001152000115</v>
      </c>
      <c r="P89" s="51">
        <f>O54-P54</f>
        <v>-83.082310425797687</v>
      </c>
      <c r="Q89" s="51">
        <f>P54-Q54</f>
        <v>-74.089522686464761</v>
      </c>
    </row>
    <row r="90" spans="1:17" s="58" customFormat="1" ht="18" customHeight="1" outlineLevel="1" x14ac:dyDescent="0.45">
      <c r="A90" s="57"/>
      <c r="B90" s="57"/>
      <c r="C90" s="57"/>
      <c r="D90" s="11" t="s">
        <v>218</v>
      </c>
      <c r="E90" s="57"/>
      <c r="F90" s="59" t="s">
        <v>169</v>
      </c>
      <c r="G90" s="57"/>
      <c r="H90" s="50">
        <f>'C&amp;F'!C47</f>
        <v>26.83</v>
      </c>
      <c r="I90" s="50">
        <f>'C&amp;F'!D47</f>
        <v>32.340000000000003</v>
      </c>
      <c r="J90" s="50">
        <f>'C&amp;F'!E47</f>
        <v>39.32</v>
      </c>
      <c r="K90" s="50">
        <f>'C&amp;F'!F47</f>
        <v>47.41</v>
      </c>
      <c r="L90" s="50">
        <f>'C&amp;F'!G47</f>
        <v>67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</row>
    <row r="91" spans="1:17" s="58" customFormat="1" ht="18" customHeight="1" outlineLevel="1" x14ac:dyDescent="0.45">
      <c r="A91" s="57"/>
      <c r="B91" s="57"/>
      <c r="C91" s="57"/>
      <c r="D91" s="11" t="s">
        <v>129</v>
      </c>
      <c r="E91" s="57"/>
      <c r="F91" s="59" t="s">
        <v>169</v>
      </c>
      <c r="G91" s="57"/>
      <c r="H91" s="50">
        <f>'C&amp;F'!C46</f>
        <v>191.72</v>
      </c>
      <c r="I91" s="50">
        <f>'C&amp;F'!D46</f>
        <v>204.14</v>
      </c>
      <c r="J91" s="50">
        <f>'C&amp;F'!E46</f>
        <v>189.8</v>
      </c>
      <c r="K91" s="50">
        <f>'C&amp;F'!F46</f>
        <v>208.52</v>
      </c>
      <c r="L91" s="50">
        <f>'C&amp;F'!G46</f>
        <v>253</v>
      </c>
      <c r="M91" s="51">
        <f>M35</f>
        <v>612.06621206943623</v>
      </c>
      <c r="N91" s="51">
        <f>N35</f>
        <v>653.6867144901579</v>
      </c>
      <c r="O91" s="51">
        <f>O35</f>
        <v>691.46980658768905</v>
      </c>
      <c r="P91" s="51">
        <f>P35</f>
        <v>725.44171818534221</v>
      </c>
      <c r="Q91" s="51">
        <f>Q35</f>
        <v>755.73652705762129</v>
      </c>
    </row>
    <row r="92" spans="1:17" s="58" customFormat="1" ht="18" customHeight="1" outlineLevel="1" x14ac:dyDescent="0.45">
      <c r="A92" s="57"/>
      <c r="B92" s="57"/>
      <c r="C92" s="57"/>
      <c r="D92" s="11" t="s">
        <v>219</v>
      </c>
      <c r="E92" s="57"/>
      <c r="F92" s="59" t="s">
        <v>169</v>
      </c>
      <c r="G92" s="57"/>
      <c r="H92" s="50">
        <f>0</f>
        <v>0</v>
      </c>
      <c r="I92" s="50">
        <f>0</f>
        <v>0</v>
      </c>
      <c r="J92" s="50">
        <f>0</f>
        <v>0</v>
      </c>
      <c r="K92" s="50">
        <f>0</f>
        <v>0</v>
      </c>
      <c r="L92" s="50">
        <f>0</f>
        <v>0</v>
      </c>
      <c r="M92" s="50">
        <f>0</f>
        <v>0</v>
      </c>
      <c r="N92" s="50">
        <f>0</f>
        <v>0</v>
      </c>
      <c r="O92" s="50">
        <f>0</f>
        <v>0</v>
      </c>
      <c r="P92" s="50">
        <f>0</f>
        <v>0</v>
      </c>
      <c r="Q92" s="50">
        <f>0</f>
        <v>0</v>
      </c>
    </row>
    <row r="93" spans="1:17" s="58" customFormat="1" ht="18" customHeight="1" outlineLevel="1" x14ac:dyDescent="0.45">
      <c r="A93" s="57"/>
      <c r="B93" s="57"/>
      <c r="C93" s="57"/>
      <c r="D93" s="72" t="s">
        <v>220</v>
      </c>
      <c r="E93" s="72"/>
      <c r="F93" s="73" t="s">
        <v>169</v>
      </c>
      <c r="G93" s="72"/>
      <c r="H93" s="74">
        <f t="shared" ref="H93:Q93" si="16">SUM(H87:H92)</f>
        <v>28.259999999999678</v>
      </c>
      <c r="I93" s="74">
        <f t="shared" si="16"/>
        <v>-127.30999999999949</v>
      </c>
      <c r="J93" s="74">
        <f t="shared" si="16"/>
        <v>45.319999999999936</v>
      </c>
      <c r="K93" s="74">
        <f t="shared" si="16"/>
        <v>-1464.1899999999998</v>
      </c>
      <c r="L93" s="74">
        <f t="shared" si="16"/>
        <v>497</v>
      </c>
      <c r="M93" s="74">
        <f t="shared" si="16"/>
        <v>87.18190326965464</v>
      </c>
      <c r="N93" s="74">
        <f t="shared" si="16"/>
        <v>173.29655805123605</v>
      </c>
      <c r="O93" s="74">
        <f t="shared" si="16"/>
        <v>256.68118003206894</v>
      </c>
      <c r="P93" s="74">
        <f t="shared" si="16"/>
        <v>335.67874404424845</v>
      </c>
      <c r="Q93" s="74">
        <f t="shared" si="16"/>
        <v>409.1954648017749</v>
      </c>
    </row>
    <row r="94" spans="1:17" s="58" customFormat="1" ht="18" customHeight="1" outlineLevel="1" x14ac:dyDescent="0.45">
      <c r="A94" s="57"/>
      <c r="B94" s="57"/>
      <c r="C94" s="57"/>
      <c r="D94" s="57"/>
      <c r="E94" s="57"/>
      <c r="F94" s="57"/>
      <c r="G94" s="57"/>
      <c r="H94" s="50"/>
      <c r="I94" s="50"/>
      <c r="J94" s="50"/>
      <c r="K94" s="50"/>
      <c r="L94" s="50"/>
      <c r="M94" s="51"/>
      <c r="N94" s="51"/>
      <c r="O94" s="51"/>
      <c r="P94" s="51"/>
      <c r="Q94" s="51"/>
    </row>
    <row r="95" spans="1:17" s="58" customFormat="1" ht="18" customHeight="1" outlineLevel="1" x14ac:dyDescent="0.45">
      <c r="A95" s="57"/>
      <c r="B95" s="57"/>
      <c r="C95" s="57" t="s">
        <v>221</v>
      </c>
      <c r="D95" s="57"/>
      <c r="E95" s="57"/>
      <c r="F95" s="57"/>
      <c r="G95" s="57"/>
      <c r="H95" s="50"/>
      <c r="I95" s="50"/>
      <c r="J95" s="50"/>
      <c r="K95" s="50"/>
      <c r="L95" s="50"/>
      <c r="M95" s="51"/>
      <c r="N95" s="51"/>
      <c r="O95" s="51"/>
      <c r="P95" s="51"/>
      <c r="Q95" s="51"/>
    </row>
    <row r="96" spans="1:17" s="58" customFormat="1" ht="18" customHeight="1" outlineLevel="1" x14ac:dyDescent="0.45">
      <c r="A96" s="57"/>
      <c r="B96" s="57"/>
      <c r="C96" s="57"/>
      <c r="D96" s="57" t="s">
        <v>222</v>
      </c>
      <c r="E96" s="57"/>
      <c r="F96" s="59" t="s">
        <v>169</v>
      </c>
      <c r="G96" s="57"/>
      <c r="H96" s="50">
        <f>'C&amp;F'!C52+'C&amp;F'!C53</f>
        <v>-600</v>
      </c>
      <c r="I96" s="50">
        <f>'C&amp;F'!D52+'C&amp;F'!D53</f>
        <v>0</v>
      </c>
      <c r="J96" s="50">
        <f>'C&amp;F'!E52+'C&amp;F'!E53</f>
        <v>0</v>
      </c>
      <c r="K96" s="50">
        <f>'C&amp;F'!F52+'C&amp;F'!F53</f>
        <v>0</v>
      </c>
      <c r="L96" s="50">
        <f>'C&amp;F'!G52+'C&amp;F'!G53</f>
        <v>0</v>
      </c>
      <c r="M96" s="51">
        <f>M125</f>
        <v>0</v>
      </c>
      <c r="N96" s="51">
        <f>N125</f>
        <v>0</v>
      </c>
      <c r="O96" s="51">
        <f>O125</f>
        <v>0</v>
      </c>
      <c r="P96" s="51">
        <f>P125</f>
        <v>0</v>
      </c>
      <c r="Q96" s="51">
        <f>Q125</f>
        <v>0</v>
      </c>
    </row>
    <row r="97" spans="1:17" s="58" customFormat="1" ht="18" customHeight="1" outlineLevel="1" x14ac:dyDescent="0.45">
      <c r="A97" s="57"/>
      <c r="B97" s="57"/>
      <c r="C97" s="57"/>
      <c r="D97" s="57" t="s">
        <v>223</v>
      </c>
      <c r="E97" s="57"/>
      <c r="F97" s="59" t="s">
        <v>169</v>
      </c>
      <c r="G97" s="57"/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</row>
    <row r="98" spans="1:17" s="58" customFormat="1" ht="18" customHeight="1" outlineLevel="1" x14ac:dyDescent="0.45">
      <c r="A98" s="57"/>
      <c r="B98" s="57"/>
      <c r="C98" s="57"/>
      <c r="D98" s="57" t="s">
        <v>224</v>
      </c>
      <c r="E98" s="57"/>
      <c r="F98" s="59" t="s">
        <v>169</v>
      </c>
      <c r="G98" s="57"/>
      <c r="H98" s="50">
        <f>'C&amp;F'!C56</f>
        <v>-295.87</v>
      </c>
      <c r="I98" s="50">
        <f>'C&amp;F'!D56</f>
        <v>-435.1</v>
      </c>
      <c r="J98" s="50">
        <f>'C&amp;F'!E56</f>
        <v>-522.12</v>
      </c>
      <c r="K98" s="50">
        <f>'C&amp;F'!F56</f>
        <v>-609.14</v>
      </c>
      <c r="L98" s="50">
        <f>'C&amp;F'!G56</f>
        <v>-696</v>
      </c>
      <c r="M98" s="51">
        <f>-M38*M16</f>
        <v>-700.11570792274586</v>
      </c>
      <c r="N98" s="51">
        <f>-N38*N16</f>
        <v>-760.96965194201084</v>
      </c>
      <c r="O98" s="51">
        <f>-O38*O16</f>
        <v>-816.83279902282925</v>
      </c>
      <c r="P98" s="51">
        <f>-P38*P16</f>
        <v>-867.74188290966208</v>
      </c>
      <c r="Q98" s="51">
        <f>-Q38*Q16</f>
        <v>-913.84766045932611</v>
      </c>
    </row>
    <row r="99" spans="1:17" s="58" customFormat="1" ht="18" customHeight="1" outlineLevel="1" x14ac:dyDescent="0.45">
      <c r="A99" s="57"/>
      <c r="B99" s="57"/>
      <c r="C99" s="57"/>
      <c r="D99" s="57" t="s">
        <v>225</v>
      </c>
      <c r="E99" s="57"/>
      <c r="F99" s="59" t="s">
        <v>169</v>
      </c>
      <c r="G99" s="57"/>
      <c r="H99" s="50">
        <f>'C&amp;F'!C54+'C&amp;F'!C55</f>
        <v>-58.339999999999996</v>
      </c>
      <c r="I99" s="50">
        <f>'C&amp;F'!D54+'C&amp;F'!D55</f>
        <v>-70.52</v>
      </c>
      <c r="J99" s="50">
        <f>'C&amp;F'!E54+'C&amp;F'!E55</f>
        <v>-63.07</v>
      </c>
      <c r="K99" s="50">
        <f>'C&amp;F'!F54+'C&amp;F'!F55</f>
        <v>-38.94</v>
      </c>
      <c r="L99" s="50">
        <f>'C&amp;F'!G54+'C&amp;F'!G55</f>
        <v>-25</v>
      </c>
      <c r="M99" s="51">
        <f>M127</f>
        <v>-2.9400000000000004</v>
      </c>
      <c r="N99" s="51">
        <f>N127</f>
        <v>-2.9400000000000004</v>
      </c>
      <c r="O99" s="51">
        <f>O127</f>
        <v>-2.9400000000000004</v>
      </c>
      <c r="P99" s="51">
        <f>P127</f>
        <v>-2.9400000000000004</v>
      </c>
      <c r="Q99" s="51">
        <f>Q127</f>
        <v>-2.9400000000000004</v>
      </c>
    </row>
    <row r="100" spans="1:17" s="58" customFormat="1" ht="18" customHeight="1" outlineLevel="1" x14ac:dyDescent="0.45">
      <c r="A100" s="57"/>
      <c r="B100" s="57"/>
      <c r="C100" s="57"/>
      <c r="D100" s="72" t="s">
        <v>226</v>
      </c>
      <c r="E100" s="72"/>
      <c r="F100" s="73" t="s">
        <v>169</v>
      </c>
      <c r="G100" s="72"/>
      <c r="H100" s="74">
        <f t="shared" ref="H100:Q100" si="17">SUM(H96:H99)</f>
        <v>-954.21</v>
      </c>
      <c r="I100" s="74">
        <f t="shared" si="17"/>
        <v>-505.62</v>
      </c>
      <c r="J100" s="74">
        <f t="shared" si="17"/>
        <v>-585.19000000000005</v>
      </c>
      <c r="K100" s="74">
        <f t="shared" si="17"/>
        <v>-648.07999999999993</v>
      </c>
      <c r="L100" s="74">
        <f t="shared" si="17"/>
        <v>-721</v>
      </c>
      <c r="M100" s="74">
        <f t="shared" si="17"/>
        <v>-703.05570792274591</v>
      </c>
      <c r="N100" s="74">
        <f t="shared" si="17"/>
        <v>-763.9096519420109</v>
      </c>
      <c r="O100" s="74">
        <f t="shared" si="17"/>
        <v>-819.7727990228293</v>
      </c>
      <c r="P100" s="74">
        <f t="shared" si="17"/>
        <v>-870.68188290966214</v>
      </c>
      <c r="Q100" s="74">
        <f t="shared" si="17"/>
        <v>-916.78766045932616</v>
      </c>
    </row>
    <row r="101" spans="1:17" s="58" customFormat="1" ht="18" customHeight="1" outlineLevel="1" x14ac:dyDescent="0.45">
      <c r="A101" s="57"/>
      <c r="B101" s="57"/>
      <c r="C101" s="57"/>
      <c r="D101" s="57"/>
      <c r="E101" s="57"/>
      <c r="F101" s="57"/>
      <c r="G101" s="57"/>
      <c r="H101" s="50"/>
      <c r="I101" s="50"/>
      <c r="J101" s="50"/>
      <c r="K101" s="50"/>
      <c r="L101" s="50"/>
      <c r="M101" s="51"/>
      <c r="N101" s="51"/>
      <c r="O101" s="51"/>
      <c r="P101" s="51"/>
      <c r="Q101" s="51"/>
    </row>
    <row r="102" spans="1:17" s="58" customFormat="1" ht="18" customHeight="1" outlineLevel="1" x14ac:dyDescent="0.45">
      <c r="A102" s="57"/>
      <c r="B102" s="57"/>
      <c r="D102" s="57" t="s">
        <v>227</v>
      </c>
      <c r="E102" s="57"/>
      <c r="F102" s="59" t="s">
        <v>169</v>
      </c>
      <c r="G102" s="57"/>
      <c r="H102" s="51">
        <f t="shared" ref="H102:Q102" si="18">SUM(H84,H93,H100)</f>
        <v>-301.09000000000071</v>
      </c>
      <c r="I102" s="51">
        <f t="shared" si="18"/>
        <v>-250.54999999999984</v>
      </c>
      <c r="J102" s="51">
        <f t="shared" si="18"/>
        <v>875.09999999999923</v>
      </c>
      <c r="K102" s="51">
        <f t="shared" si="18"/>
        <v>-240.80000000000018</v>
      </c>
      <c r="L102" s="51">
        <f t="shared" si="18"/>
        <v>702</v>
      </c>
      <c r="M102" s="51">
        <f t="shared" si="18"/>
        <v>2592.6962531160511</v>
      </c>
      <c r="N102" s="51">
        <f t="shared" si="18"/>
        <v>2477.1568200860411</v>
      </c>
      <c r="O102" s="51">
        <f t="shared" si="18"/>
        <v>2762.6929914801785</v>
      </c>
      <c r="P102" s="51">
        <f t="shared" si="18"/>
        <v>2928.9984227453924</v>
      </c>
      <c r="Q102" s="51">
        <f t="shared" si="18"/>
        <v>3057.2599738364061</v>
      </c>
    </row>
    <row r="103" spans="1:17" s="58" customFormat="1" ht="18" customHeight="1" outlineLevel="1" x14ac:dyDescent="0.45">
      <c r="A103" s="57"/>
      <c r="B103" s="57"/>
      <c r="C103" s="57"/>
      <c r="D103" s="57" t="s">
        <v>228</v>
      </c>
      <c r="E103" s="57"/>
      <c r="F103" s="59" t="s">
        <v>169</v>
      </c>
      <c r="G103" s="57"/>
      <c r="H103" s="50">
        <f>'C&amp;F'!C60</f>
        <v>870.68</v>
      </c>
      <c r="I103" s="50">
        <f>'C&amp;F'!D60</f>
        <v>565.65</v>
      </c>
      <c r="J103" s="50">
        <f>'C&amp;F'!E60</f>
        <v>319.54000000000002</v>
      </c>
      <c r="K103" s="50">
        <f>'C&amp;F'!F60</f>
        <v>1195.28</v>
      </c>
      <c r="L103" s="50">
        <f>'C&amp;F'!G60</f>
        <v>959</v>
      </c>
      <c r="M103" s="51">
        <f>L45</f>
        <v>1668</v>
      </c>
      <c r="N103" s="51">
        <f>M45</f>
        <v>4261.1762531160457</v>
      </c>
      <c r="O103" s="51">
        <f>N45</f>
        <v>6738.7737132020848</v>
      </c>
      <c r="P103" s="51">
        <f>O45</f>
        <v>9501.8667176742711</v>
      </c>
      <c r="Q103" s="51">
        <f>P45</f>
        <v>12431.224804101163</v>
      </c>
    </row>
    <row r="104" spans="1:17" s="58" customFormat="1" ht="18" customHeight="1" outlineLevel="1" x14ac:dyDescent="0.45">
      <c r="A104" s="57"/>
      <c r="B104" s="57"/>
      <c r="C104" s="57"/>
      <c r="D104" s="60" t="s">
        <v>229</v>
      </c>
      <c r="E104" s="60"/>
      <c r="F104" s="61" t="s">
        <v>169</v>
      </c>
      <c r="G104" s="60"/>
      <c r="H104" s="74">
        <f>'C&amp;F'!C61+Model!H102+Model!H103</f>
        <v>565.64999999999918</v>
      </c>
      <c r="I104" s="74">
        <f>'C&amp;F'!D61+Model!I102+Model!I103</f>
        <v>319.54000000000013</v>
      </c>
      <c r="J104" s="74">
        <f>'C&amp;F'!E61+Model!J102+Model!J103</f>
        <v>1195.2799999999993</v>
      </c>
      <c r="K104" s="74">
        <f>'C&amp;F'!F61+Model!K102+Model!K103</f>
        <v>959.00999999999976</v>
      </c>
      <c r="L104" s="74">
        <f>'C&amp;F'!G61+Model!L102+Model!L103</f>
        <v>1668</v>
      </c>
      <c r="M104" s="74">
        <f>'C&amp;F'!H61+Model!M102+Model!M103</f>
        <v>4260.6962531160516</v>
      </c>
      <c r="N104" s="74">
        <f>'C&amp;F'!I61+Model!N102+Model!N103</f>
        <v>6738.3330732020868</v>
      </c>
      <c r="O104" s="74">
        <f>'C&amp;F'!J61+Model!O102+Model!O103</f>
        <v>9501.4667046822633</v>
      </c>
      <c r="P104" s="74">
        <f>'C&amp;F'!K61+Model!P102+Model!P103</f>
        <v>12430.865140419664</v>
      </c>
      <c r="Q104" s="74">
        <f>'C&amp;F'!L61+Model!Q102+Model!Q103</f>
        <v>15488.484777937569</v>
      </c>
    </row>
    <row r="105" spans="1:17" s="58" customFormat="1" ht="18" customHeight="1" outlineLevel="1" x14ac:dyDescent="0.45">
      <c r="A105" s="57"/>
      <c r="B105" s="57"/>
      <c r="C105" s="57"/>
      <c r="D105" s="57"/>
      <c r="E105" s="57"/>
      <c r="F105" s="57"/>
      <c r="G105" s="57"/>
      <c r="H105" s="50"/>
      <c r="I105" s="50"/>
      <c r="J105" s="50"/>
      <c r="K105" s="50"/>
      <c r="L105" s="50"/>
    </row>
    <row r="106" spans="1:17" s="58" customFormat="1" ht="18" customHeight="1" x14ac:dyDescent="0.45">
      <c r="A106" s="57"/>
      <c r="B106" s="57"/>
      <c r="C106" s="57"/>
      <c r="D106" s="57"/>
      <c r="E106" s="57"/>
      <c r="F106" s="57"/>
      <c r="G106" s="57"/>
      <c r="H106" s="50"/>
      <c r="I106" s="50"/>
      <c r="J106" s="50"/>
      <c r="K106" s="50"/>
      <c r="L106" s="50"/>
    </row>
    <row r="107" spans="1:17" s="58" customFormat="1" ht="18" customHeight="1" x14ac:dyDescent="0.45">
      <c r="A107" s="57"/>
      <c r="B107" s="57"/>
      <c r="C107" s="57"/>
      <c r="D107" s="57"/>
      <c r="E107" s="57"/>
      <c r="F107" s="57"/>
      <c r="G107" s="57"/>
      <c r="H107" s="50"/>
      <c r="I107" s="50"/>
      <c r="J107" s="50"/>
      <c r="K107" s="50"/>
      <c r="L107" s="50"/>
    </row>
    <row r="108" spans="1:17" s="58" customFormat="1" ht="20.25" customHeight="1" x14ac:dyDescent="0.45">
      <c r="A108" s="49" t="s">
        <v>230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</row>
    <row r="109" spans="1:17" s="58" customFormat="1" ht="18" customHeight="1" x14ac:dyDescent="0.45">
      <c r="A109" s="57"/>
      <c r="B109" s="57"/>
      <c r="C109" s="57"/>
      <c r="D109" s="57"/>
      <c r="E109" s="57"/>
      <c r="F109" s="57"/>
      <c r="G109" s="57"/>
      <c r="H109" s="50"/>
      <c r="I109" s="50"/>
      <c r="J109" s="50"/>
      <c r="K109" s="50"/>
      <c r="L109" s="50"/>
    </row>
    <row r="110" spans="1:17" s="58" customFormat="1" ht="18" customHeight="1" x14ac:dyDescent="0.45">
      <c r="A110" s="57"/>
      <c r="B110" s="57"/>
      <c r="C110" s="26" t="s">
        <v>231</v>
      </c>
      <c r="D110" s="57"/>
      <c r="E110" s="57"/>
      <c r="F110" s="57"/>
      <c r="G110" s="57"/>
      <c r="H110" s="50"/>
      <c r="I110" s="50"/>
      <c r="J110" s="50"/>
      <c r="K110" s="50"/>
      <c r="L110" s="50"/>
    </row>
    <row r="111" spans="1:17" s="58" customFormat="1" ht="18" customHeight="1" x14ac:dyDescent="0.45">
      <c r="A111" s="57"/>
      <c r="B111" s="57"/>
      <c r="C111" s="57"/>
      <c r="D111" s="57" t="s">
        <v>161</v>
      </c>
      <c r="E111" s="57"/>
      <c r="F111" s="59" t="s">
        <v>169</v>
      </c>
      <c r="G111" s="57"/>
      <c r="H111" s="50">
        <f>'C&amp;F'!C24</f>
        <v>-103.69</v>
      </c>
      <c r="I111" s="50">
        <f>'C&amp;F'!D24</f>
        <v>-1138.18</v>
      </c>
      <c r="J111" s="50">
        <f>'C&amp;F'!E24</f>
        <v>-789.75</v>
      </c>
      <c r="K111" s="50">
        <f>'C&amp;F'!F24</f>
        <v>-1642.3</v>
      </c>
      <c r="L111" s="50">
        <f>'C&amp;F'!G24</f>
        <v>-2115</v>
      </c>
      <c r="M111" s="51">
        <f t="shared" ref="M111:Q112" si="19">L47-M47</f>
        <v>-81.94958904109626</v>
      </c>
      <c r="N111" s="51">
        <f t="shared" si="19"/>
        <v>-170.69320109589171</v>
      </c>
      <c r="O111" s="51">
        <f t="shared" si="19"/>
        <v>-66.445917869588811</v>
      </c>
      <c r="P111" s="51">
        <f t="shared" si="19"/>
        <v>-64.562648375125718</v>
      </c>
      <c r="Q111" s="51">
        <f t="shared" si="19"/>
        <v>-83.545766754119541</v>
      </c>
    </row>
    <row r="112" spans="1:17" s="58" customFormat="1" ht="18" customHeight="1" x14ac:dyDescent="0.45">
      <c r="A112" s="57"/>
      <c r="B112" s="57"/>
      <c r="C112" s="57"/>
      <c r="D112" s="57" t="s">
        <v>163</v>
      </c>
      <c r="E112" s="57"/>
      <c r="F112" s="59" t="s">
        <v>169</v>
      </c>
      <c r="G112" s="57"/>
      <c r="H112" s="50">
        <f>'C&amp;F'!C23</f>
        <v>-622.09</v>
      </c>
      <c r="I112" s="50">
        <f>'C&amp;F'!D23</f>
        <v>-1380.05</v>
      </c>
      <c r="J112" s="50">
        <f>'C&amp;F'!E23</f>
        <v>-815.45</v>
      </c>
      <c r="K112" s="50">
        <f>'C&amp;F'!F23</f>
        <v>-1.89</v>
      </c>
      <c r="L112" s="50">
        <f>'C&amp;F'!G23</f>
        <v>-1432</v>
      </c>
      <c r="M112" s="51">
        <f t="shared" si="19"/>
        <v>-429.51151170906996</v>
      </c>
      <c r="N112" s="51">
        <f t="shared" si="19"/>
        <v>-563.75478279621711</v>
      </c>
      <c r="O112" s="51">
        <f t="shared" si="19"/>
        <v>-511.77659182240677</v>
      </c>
      <c r="P112" s="51">
        <f t="shared" si="19"/>
        <v>-460.15368700528052</v>
      </c>
      <c r="Q112" s="51">
        <f t="shared" si="19"/>
        <v>-410.34688200066921</v>
      </c>
    </row>
    <row r="113" spans="1:17" s="58" customFormat="1" ht="18" customHeight="1" x14ac:dyDescent="0.45">
      <c r="A113" s="57"/>
      <c r="B113" s="57"/>
      <c r="C113" s="57"/>
      <c r="D113" s="57" t="s">
        <v>164</v>
      </c>
      <c r="E113" s="57"/>
      <c r="F113" s="59" t="s">
        <v>169</v>
      </c>
      <c r="G113" s="57"/>
      <c r="H113" s="50">
        <f>'C&amp;F'!C29</f>
        <v>183.62</v>
      </c>
      <c r="I113" s="50">
        <f>'C&amp;F'!D29</f>
        <v>349.05</v>
      </c>
      <c r="J113" s="50">
        <f>'C&amp;F'!E29</f>
        <v>301.27999999999997</v>
      </c>
      <c r="K113" s="50">
        <f>'C&amp;F'!F29</f>
        <v>319.60000000000002</v>
      </c>
      <c r="L113" s="50">
        <f>'C&amp;F'!G29</f>
        <v>722</v>
      </c>
      <c r="M113" s="51">
        <f>M60-L60</f>
        <v>395.33144812118371</v>
      </c>
      <c r="N113" s="51">
        <f>N60-M60</f>
        <v>326.96653847224115</v>
      </c>
      <c r="O113" s="51">
        <f>O60-N60</f>
        <v>296.82022362509997</v>
      </c>
      <c r="P113" s="51">
        <f>P60-O60</f>
        <v>266.87996766803644</v>
      </c>
      <c r="Q113" s="51">
        <f>Q60-P60</f>
        <v>237.99301340763122</v>
      </c>
    </row>
    <row r="114" spans="1:17" s="58" customFormat="1" ht="18" customHeight="1" x14ac:dyDescent="0.45">
      <c r="A114" s="57"/>
      <c r="B114" s="57"/>
      <c r="C114" s="57"/>
      <c r="D114" s="57" t="s">
        <v>232</v>
      </c>
      <c r="E114" s="57"/>
      <c r="F114" s="59" t="s">
        <v>169</v>
      </c>
      <c r="G114" s="57"/>
      <c r="H114" s="50">
        <f>('C&amp;F'!C26+'C&amp;F'!C25+'C&amp;F'!C27+'C&amp;F'!C30+'C&amp;F'!C31+'C&amp;F'!C32)</f>
        <v>-330.77</v>
      </c>
      <c r="I114" s="50">
        <f>('C&amp;F'!D26+'C&amp;F'!D25+'C&amp;F'!D27+'C&amp;F'!D30+'C&amp;F'!D31+'C&amp;F'!D32)</f>
        <v>546.72</v>
      </c>
      <c r="J114" s="50">
        <f>('C&amp;F'!E26+'C&amp;F'!E25+'C&amp;F'!E27+'C&amp;F'!E30+'C&amp;F'!E31+'C&amp;F'!E32)</f>
        <v>374.27000000000004</v>
      </c>
      <c r="K114" s="50">
        <f>('C&amp;F'!F26+'C&amp;F'!F25+'C&amp;F'!F27+'C&amp;F'!F30+'C&amp;F'!F31+'C&amp;F'!F32)</f>
        <v>288.39999999999998</v>
      </c>
      <c r="L114" s="50">
        <f>('C&amp;F'!G26+'C&amp;F'!G25+'C&amp;F'!G27+'C&amp;F'!G30+'C&amp;F'!G31+'C&amp;F'!G32)</f>
        <v>1135</v>
      </c>
      <c r="M114" s="51">
        <f>L49-M49+M61-L61</f>
        <v>377.52000000000044</v>
      </c>
      <c r="N114" s="51">
        <f>M49-N49+N61-M61</f>
        <v>346.5633600000001</v>
      </c>
      <c r="O114" s="51">
        <f>N49-O49+O61-N61</f>
        <v>314.61021820800124</v>
      </c>
      <c r="P114" s="51">
        <f>O49-P49+P61-O61</f>
        <v>282.87548549735857</v>
      </c>
      <c r="Q114" s="51">
        <f>P49-Q49+Q61-P61</f>
        <v>252.2571843848682</v>
      </c>
    </row>
    <row r="115" spans="1:17" s="58" customFormat="1" ht="18" customHeight="1" x14ac:dyDescent="0.45">
      <c r="A115" s="57"/>
      <c r="B115" s="57"/>
      <c r="C115" s="57"/>
      <c r="D115" s="72" t="s">
        <v>233</v>
      </c>
      <c r="E115" s="72"/>
      <c r="F115" s="73" t="s">
        <v>169</v>
      </c>
      <c r="G115" s="72"/>
      <c r="H115" s="74">
        <f t="shared" ref="H115:Q115" si="20">SUM(H111:H114)</f>
        <v>-872.93</v>
      </c>
      <c r="I115" s="74">
        <f t="shared" si="20"/>
        <v>-1622.4599999999998</v>
      </c>
      <c r="J115" s="74">
        <f t="shared" si="20"/>
        <v>-929.65000000000009</v>
      </c>
      <c r="K115" s="74">
        <f t="shared" si="20"/>
        <v>-1036.19</v>
      </c>
      <c r="L115" s="74">
        <f t="shared" si="20"/>
        <v>-1690</v>
      </c>
      <c r="M115" s="74">
        <f t="shared" si="20"/>
        <v>261.39034737101792</v>
      </c>
      <c r="N115" s="74">
        <f t="shared" si="20"/>
        <v>-60.918085419867566</v>
      </c>
      <c r="O115" s="74">
        <f t="shared" si="20"/>
        <v>33.20793214110563</v>
      </c>
      <c r="P115" s="74">
        <f t="shared" si="20"/>
        <v>25.039117784988775</v>
      </c>
      <c r="Q115" s="74">
        <f t="shared" si="20"/>
        <v>-3.6424509622893311</v>
      </c>
    </row>
    <row r="116" spans="1:17" s="58" customFormat="1" ht="18" customHeight="1" x14ac:dyDescent="0.45">
      <c r="A116" s="57"/>
      <c r="B116" s="57"/>
      <c r="C116" s="57"/>
      <c r="D116" s="57"/>
      <c r="E116" s="57"/>
      <c r="F116" s="59"/>
      <c r="G116" s="57"/>
      <c r="H116" s="50"/>
      <c r="I116" s="50"/>
      <c r="J116" s="50"/>
      <c r="K116" s="50"/>
      <c r="L116" s="50"/>
    </row>
    <row r="117" spans="1:17" s="58" customFormat="1" ht="18" customHeight="1" x14ac:dyDescent="0.45">
      <c r="A117" s="57"/>
      <c r="B117" s="57"/>
      <c r="C117" s="57" t="s">
        <v>234</v>
      </c>
      <c r="D117" s="57"/>
      <c r="E117" s="57"/>
      <c r="G117" s="57"/>
      <c r="H117" s="50"/>
      <c r="I117" s="50"/>
      <c r="J117" s="50"/>
      <c r="K117" s="50"/>
      <c r="L117" s="50"/>
    </row>
    <row r="118" spans="1:17" s="58" customFormat="1" ht="18" customHeight="1" x14ac:dyDescent="0.45">
      <c r="A118" s="57"/>
      <c r="B118" s="57"/>
      <c r="C118" s="57"/>
      <c r="D118" s="57" t="s">
        <v>235</v>
      </c>
      <c r="E118" s="57"/>
      <c r="F118" s="59" t="s">
        <v>169</v>
      </c>
      <c r="G118" s="57"/>
      <c r="H118" s="51"/>
      <c r="I118" s="50">
        <f t="shared" ref="I118:Q118" si="21">H121</f>
        <v>3498.13</v>
      </c>
      <c r="J118" s="50">
        <f t="shared" si="21"/>
        <v>3752.2</v>
      </c>
      <c r="K118" s="50">
        <f t="shared" si="21"/>
        <v>4513.8899999999994</v>
      </c>
      <c r="L118" s="50">
        <f t="shared" si="21"/>
        <v>4931.2</v>
      </c>
      <c r="M118" s="51">
        <f t="shared" si="21"/>
        <v>5195</v>
      </c>
      <c r="N118" s="51">
        <f t="shared" si="21"/>
        <v>4959.1635889226654</v>
      </c>
      <c r="O118" s="51">
        <f t="shared" si="21"/>
        <v>4717.4258790643989</v>
      </c>
      <c r="P118" s="51">
        <f t="shared" si="21"/>
        <v>4469.7103631363252</v>
      </c>
      <c r="Q118" s="51">
        <f t="shared" si="21"/>
        <v>4217.2765321407987</v>
      </c>
    </row>
    <row r="119" spans="1:17" s="58" customFormat="1" ht="18" customHeight="1" x14ac:dyDescent="0.45">
      <c r="A119" s="57"/>
      <c r="B119" s="57"/>
      <c r="C119" s="57"/>
      <c r="D119" s="57" t="s">
        <v>236</v>
      </c>
      <c r="E119" s="57"/>
      <c r="F119" s="59" t="s">
        <v>169</v>
      </c>
      <c r="G119" s="57"/>
      <c r="H119" s="51"/>
      <c r="I119" s="51">
        <f>I121-I118-I120</f>
        <v>706.67999999999972</v>
      </c>
      <c r="J119" s="51">
        <f>J121-J118-J120</f>
        <v>1258.4699999999996</v>
      </c>
      <c r="K119" s="51">
        <f>K121-K118-K120</f>
        <v>960.55000000000041</v>
      </c>
      <c r="L119" s="51">
        <f>L121-L118-L120</f>
        <v>846.80000000000018</v>
      </c>
      <c r="M119" s="51">
        <f>(M25-L25)/M20</f>
        <v>414.00430879978154</v>
      </c>
      <c r="N119" s="51">
        <f>(N25-M25)/N20</f>
        <v>378.60231643892166</v>
      </c>
      <c r="O119" s="51">
        <f>(O25-N25)/O20</f>
        <v>342.38562540362</v>
      </c>
      <c r="P119" s="51">
        <f>(P25-O25)/P20</f>
        <v>306.68066371529608</v>
      </c>
      <c r="Q119" s="51">
        <f>(Q25-P25)/Q20</f>
        <v>272.45153956938162</v>
      </c>
    </row>
    <row r="120" spans="1:17" s="58" customFormat="1" ht="18" customHeight="1" x14ac:dyDescent="0.45">
      <c r="A120" s="57"/>
      <c r="B120" s="57"/>
      <c r="C120" s="57"/>
      <c r="D120" s="57" t="s">
        <v>237</v>
      </c>
      <c r="E120" s="57"/>
      <c r="F120" s="59" t="s">
        <v>169</v>
      </c>
      <c r="G120" s="57"/>
      <c r="H120" s="50">
        <f>-H81</f>
        <v>-435.34</v>
      </c>
      <c r="I120" s="50">
        <f>-I81</f>
        <v>-452.61</v>
      </c>
      <c r="J120" s="50">
        <f>-J81</f>
        <v>-496.78</v>
      </c>
      <c r="K120" s="50">
        <f>-K81</f>
        <v>-543.24</v>
      </c>
      <c r="L120" s="50">
        <f>-L81</f>
        <v>-583</v>
      </c>
      <c r="M120" s="51">
        <f>-M118*M12</f>
        <v>-649.84071987711695</v>
      </c>
      <c r="N120" s="51">
        <f>-N118*N12</f>
        <v>-620.34002629718805</v>
      </c>
      <c r="O120" s="51">
        <f>-O118*O12</f>
        <v>-590.10114133169395</v>
      </c>
      <c r="P120" s="51">
        <f>-P118*P12</f>
        <v>-559.11449471082187</v>
      </c>
      <c r="Q120" s="51">
        <f>-Q118*Q12</f>
        <v>-527.53763572035575</v>
      </c>
    </row>
    <row r="121" spans="1:17" s="58" customFormat="1" ht="18" customHeight="1" x14ac:dyDescent="0.45">
      <c r="A121" s="57"/>
      <c r="B121" s="57"/>
      <c r="C121" s="57"/>
      <c r="D121" s="60" t="s">
        <v>238</v>
      </c>
      <c r="E121" s="60"/>
      <c r="F121" s="73" t="s">
        <v>169</v>
      </c>
      <c r="G121" s="60"/>
      <c r="H121" s="75">
        <f>H52</f>
        <v>3498.13</v>
      </c>
      <c r="I121" s="75">
        <f>I52</f>
        <v>3752.2</v>
      </c>
      <c r="J121" s="75">
        <f>J52</f>
        <v>4513.8899999999994</v>
      </c>
      <c r="K121" s="75">
        <f>K52</f>
        <v>4931.2</v>
      </c>
      <c r="L121" s="75">
        <f>L52</f>
        <v>5195</v>
      </c>
      <c r="M121" s="74">
        <f>SUM(M118:M120)</f>
        <v>4959.1635889226654</v>
      </c>
      <c r="N121" s="74">
        <f>SUM(N118:N120)</f>
        <v>4717.4258790643989</v>
      </c>
      <c r="O121" s="74">
        <f>SUM(O118:O120)</f>
        <v>4469.7103631363252</v>
      </c>
      <c r="P121" s="74">
        <f>SUM(P118:P120)</f>
        <v>4217.2765321407987</v>
      </c>
      <c r="Q121" s="74">
        <f>SUM(Q118:Q120)</f>
        <v>3962.1904359898244</v>
      </c>
    </row>
    <row r="122" spans="1:17" s="58" customFormat="1" ht="18" customHeight="1" x14ac:dyDescent="0.45">
      <c r="A122" s="57"/>
      <c r="B122" s="57"/>
      <c r="C122" s="57"/>
      <c r="D122" s="57"/>
      <c r="E122" s="57"/>
      <c r="F122" s="57"/>
      <c r="G122" s="57"/>
      <c r="H122" s="50"/>
      <c r="I122" s="50"/>
      <c r="J122" s="50"/>
      <c r="K122" s="50"/>
      <c r="L122" s="50"/>
    </row>
    <row r="123" spans="1:17" s="58" customFormat="1" ht="18" customHeight="1" x14ac:dyDescent="0.45">
      <c r="A123" s="57"/>
      <c r="B123" s="57"/>
      <c r="C123" s="57" t="s">
        <v>239</v>
      </c>
      <c r="D123" s="57"/>
      <c r="E123" s="57"/>
      <c r="F123" s="57"/>
      <c r="G123" s="57"/>
      <c r="H123" s="50"/>
      <c r="I123" s="50"/>
      <c r="J123" s="50"/>
      <c r="K123" s="50"/>
      <c r="L123" s="50"/>
    </row>
    <row r="124" spans="1:17" s="58" customFormat="1" ht="18" customHeight="1" x14ac:dyDescent="0.45">
      <c r="A124" s="57"/>
      <c r="B124" s="57"/>
      <c r="C124" s="57"/>
      <c r="D124" s="57" t="s">
        <v>240</v>
      </c>
      <c r="E124" s="57"/>
      <c r="F124" s="59" t="s">
        <v>169</v>
      </c>
      <c r="G124" s="57"/>
      <c r="H124" s="50">
        <v>637.83000000000004</v>
      </c>
      <c r="I124" s="50">
        <f t="shared" ref="I124:Q124" si="22">H126</f>
        <v>29.89</v>
      </c>
      <c r="J124" s="50">
        <f t="shared" si="22"/>
        <v>28.82</v>
      </c>
      <c r="K124" s="50">
        <f t="shared" si="22"/>
        <v>32.36</v>
      </c>
      <c r="L124" s="50">
        <f t="shared" si="22"/>
        <v>34.36</v>
      </c>
      <c r="M124" s="51">
        <f t="shared" si="22"/>
        <v>42</v>
      </c>
      <c r="N124" s="51">
        <f t="shared" si="22"/>
        <v>42</v>
      </c>
      <c r="O124" s="51">
        <f t="shared" si="22"/>
        <v>42</v>
      </c>
      <c r="P124" s="51">
        <f t="shared" si="22"/>
        <v>42</v>
      </c>
      <c r="Q124" s="51">
        <f t="shared" si="22"/>
        <v>42</v>
      </c>
    </row>
    <row r="125" spans="1:17" s="58" customFormat="1" ht="18" customHeight="1" x14ac:dyDescent="0.45">
      <c r="A125" s="57"/>
      <c r="B125" s="57"/>
      <c r="C125" s="57"/>
      <c r="D125" s="57" t="s">
        <v>241</v>
      </c>
      <c r="E125" s="57"/>
      <c r="F125" s="59" t="s">
        <v>169</v>
      </c>
      <c r="G125" s="57"/>
      <c r="H125" s="50">
        <f t="shared" ref="H125:Q125" si="23">H126-H124</f>
        <v>-607.94000000000005</v>
      </c>
      <c r="I125" s="76">
        <f t="shared" si="23"/>
        <v>-1.0700000000000003</v>
      </c>
      <c r="J125" s="76">
        <f t="shared" si="23"/>
        <v>3.5399999999999991</v>
      </c>
      <c r="K125" s="76">
        <f t="shared" si="23"/>
        <v>2</v>
      </c>
      <c r="L125" s="76">
        <f t="shared" si="23"/>
        <v>7.6400000000000006</v>
      </c>
      <c r="M125" s="76">
        <f t="shared" si="23"/>
        <v>0</v>
      </c>
      <c r="N125" s="76">
        <f t="shared" si="23"/>
        <v>0</v>
      </c>
      <c r="O125" s="76">
        <f t="shared" si="23"/>
        <v>0</v>
      </c>
      <c r="P125" s="76">
        <f t="shared" si="23"/>
        <v>0</v>
      </c>
      <c r="Q125" s="76">
        <f t="shared" si="23"/>
        <v>0</v>
      </c>
    </row>
    <row r="126" spans="1:17" s="58" customFormat="1" ht="18" customHeight="1" x14ac:dyDescent="0.45">
      <c r="A126" s="57"/>
      <c r="B126" s="57"/>
      <c r="C126" s="57"/>
      <c r="D126" s="57" t="s">
        <v>242</v>
      </c>
      <c r="E126" s="57"/>
      <c r="F126" s="73" t="s">
        <v>169</v>
      </c>
      <c r="G126" s="60"/>
      <c r="H126" s="75">
        <f>H63</f>
        <v>29.89</v>
      </c>
      <c r="I126" s="50">
        <f>I63</f>
        <v>28.82</v>
      </c>
      <c r="J126" s="50">
        <f>J63</f>
        <v>32.36</v>
      </c>
      <c r="K126" s="50">
        <f>K63</f>
        <v>34.36</v>
      </c>
      <c r="L126" s="50">
        <f>L63</f>
        <v>42</v>
      </c>
      <c r="M126" s="74">
        <f>L126</f>
        <v>42</v>
      </c>
      <c r="N126" s="74">
        <f>M126</f>
        <v>42</v>
      </c>
      <c r="O126" s="74">
        <f>N126</f>
        <v>42</v>
      </c>
      <c r="P126" s="74">
        <f>O126</f>
        <v>42</v>
      </c>
      <c r="Q126" s="74">
        <f>P126</f>
        <v>42</v>
      </c>
    </row>
    <row r="127" spans="1:17" s="58" customFormat="1" ht="18" customHeight="1" x14ac:dyDescent="0.45">
      <c r="A127" s="57"/>
      <c r="B127" s="57"/>
      <c r="C127" s="57"/>
      <c r="D127" s="57" t="s">
        <v>243</v>
      </c>
      <c r="E127" s="57"/>
      <c r="F127" s="59" t="s">
        <v>169</v>
      </c>
      <c r="G127" s="57"/>
      <c r="H127" s="50">
        <f>H34</f>
        <v>-50.4</v>
      </c>
      <c r="I127" s="50">
        <f>I34</f>
        <v>-61.26</v>
      </c>
      <c r="J127" s="50">
        <f>J34</f>
        <v>-52.9</v>
      </c>
      <c r="K127" s="50">
        <f>K34</f>
        <v>-27.17</v>
      </c>
      <c r="L127" s="50">
        <f>L34</f>
        <v>-30</v>
      </c>
      <c r="M127" s="51">
        <f>-M126*M13</f>
        <v>-2.9400000000000004</v>
      </c>
      <c r="N127" s="51">
        <f>-N126*N13</f>
        <v>-2.9400000000000004</v>
      </c>
      <c r="O127" s="51">
        <f>-O126*O13</f>
        <v>-2.9400000000000004</v>
      </c>
      <c r="P127" s="51">
        <f>-P126*P13</f>
        <v>-2.9400000000000004</v>
      </c>
      <c r="Q127" s="51">
        <f>-Q126*Q13</f>
        <v>-2.9400000000000004</v>
      </c>
    </row>
    <row r="128" spans="1:17" s="58" customFormat="1" ht="18" customHeight="1" x14ac:dyDescent="0.45">
      <c r="A128" s="57"/>
      <c r="B128" s="57"/>
      <c r="C128" s="57"/>
      <c r="D128" s="57"/>
      <c r="E128" s="57"/>
      <c r="F128" s="57"/>
      <c r="G128" s="57"/>
      <c r="H128" s="50"/>
      <c r="I128" s="50"/>
      <c r="J128" s="50"/>
      <c r="K128" s="50"/>
      <c r="L128" s="50"/>
    </row>
    <row r="129" spans="1:19" s="58" customFormat="1" ht="18" customHeight="1" x14ac:dyDescent="0.45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3"/>
      <c r="S129" s="233"/>
    </row>
    <row r="130" spans="1:19" s="58" customFormat="1" ht="18" customHeight="1" x14ac:dyDescent="0.45">
      <c r="A130" s="234"/>
      <c r="B130" s="234"/>
      <c r="C130" s="234"/>
      <c r="D130" s="234"/>
      <c r="E130" s="234"/>
      <c r="F130" s="234"/>
      <c r="G130" s="234"/>
      <c r="H130" s="235"/>
      <c r="I130" s="235"/>
      <c r="J130" s="235"/>
      <c r="K130" s="235"/>
      <c r="L130" s="235"/>
      <c r="M130" s="233"/>
      <c r="N130" s="233"/>
      <c r="O130" s="233"/>
      <c r="P130" s="233"/>
      <c r="Q130" s="233"/>
      <c r="R130" s="233"/>
      <c r="S130" s="233"/>
    </row>
    <row r="131" spans="1:19" s="58" customFormat="1" ht="18" customHeight="1" x14ac:dyDescent="0.45">
      <c r="A131" s="234"/>
      <c r="B131" s="234"/>
      <c r="C131" s="234"/>
      <c r="D131" s="236"/>
      <c r="E131" s="234"/>
      <c r="F131" s="234"/>
      <c r="G131" s="234"/>
      <c r="H131" s="237"/>
      <c r="I131" s="237"/>
      <c r="J131" s="237"/>
      <c r="K131" s="237"/>
      <c r="L131" s="237"/>
      <c r="M131" s="233"/>
      <c r="N131" s="233"/>
      <c r="O131" s="233"/>
      <c r="P131" s="233"/>
      <c r="Q131" s="233"/>
      <c r="R131" s="233"/>
      <c r="S131" s="233"/>
    </row>
    <row r="132" spans="1:19" s="58" customFormat="1" ht="18" customHeight="1" x14ac:dyDescent="0.45">
      <c r="A132" s="234"/>
      <c r="B132" s="234"/>
      <c r="C132" s="234"/>
      <c r="D132" s="234"/>
      <c r="E132" s="238"/>
      <c r="F132" s="234"/>
      <c r="G132" s="234"/>
      <c r="H132" s="237"/>
      <c r="I132" s="237"/>
      <c r="J132" s="237"/>
      <c r="K132" s="237"/>
      <c r="L132" s="237"/>
      <c r="M132" s="233"/>
      <c r="N132" s="233"/>
      <c r="O132" s="233"/>
      <c r="P132" s="233"/>
      <c r="Q132" s="233"/>
      <c r="R132" s="233"/>
      <c r="S132" s="233"/>
    </row>
    <row r="133" spans="1:19" s="58" customFormat="1" ht="18" customHeight="1" x14ac:dyDescent="0.45">
      <c r="A133" s="234"/>
      <c r="B133" s="234"/>
      <c r="C133" s="234"/>
      <c r="D133" s="234"/>
      <c r="E133" s="238"/>
      <c r="F133" s="234"/>
      <c r="G133" s="234"/>
      <c r="H133" s="237"/>
      <c r="I133" s="237"/>
      <c r="J133" s="237"/>
      <c r="K133" s="237"/>
      <c r="L133" s="237"/>
      <c r="M133" s="233"/>
      <c r="N133" s="233"/>
      <c r="O133" s="233"/>
      <c r="P133" s="233"/>
      <c r="Q133" s="233"/>
      <c r="R133" s="233"/>
      <c r="S133" s="233"/>
    </row>
    <row r="134" spans="1:19" s="58" customFormat="1" ht="18" customHeight="1" x14ac:dyDescent="0.45">
      <c r="A134" s="234"/>
      <c r="B134" s="234"/>
      <c r="C134" s="234"/>
      <c r="D134" s="234"/>
      <c r="E134" s="239"/>
      <c r="F134" s="234"/>
      <c r="G134" s="234"/>
      <c r="H134" s="237"/>
      <c r="I134" s="237"/>
      <c r="J134" s="237"/>
      <c r="K134" s="237"/>
      <c r="L134" s="237"/>
      <c r="M134" s="233"/>
      <c r="N134" s="233"/>
      <c r="O134" s="233"/>
      <c r="P134" s="233"/>
      <c r="Q134" s="233"/>
      <c r="R134" s="233"/>
      <c r="S134" s="233"/>
    </row>
    <row r="135" spans="1:19" s="58" customFormat="1" ht="18" customHeight="1" x14ac:dyDescent="0.45">
      <c r="A135" s="234"/>
      <c r="B135" s="234"/>
      <c r="C135" s="234"/>
      <c r="D135" s="234"/>
      <c r="E135" s="225"/>
      <c r="F135" s="234"/>
      <c r="G135" s="234"/>
      <c r="H135" s="237"/>
      <c r="I135" s="237"/>
      <c r="J135" s="237"/>
      <c r="K135" s="237"/>
      <c r="L135" s="237"/>
      <c r="M135" s="233"/>
      <c r="N135" s="233"/>
      <c r="O135" s="233"/>
      <c r="P135" s="233"/>
      <c r="Q135" s="233"/>
      <c r="R135" s="233"/>
      <c r="S135" s="233"/>
    </row>
    <row r="136" spans="1:19" s="58" customFormat="1" ht="18" customHeight="1" x14ac:dyDescent="0.45">
      <c r="A136" s="234"/>
      <c r="B136" s="234"/>
      <c r="C136" s="234"/>
      <c r="D136" s="234"/>
      <c r="E136" s="240"/>
      <c r="F136" s="234"/>
      <c r="G136" s="234"/>
      <c r="H136" s="237"/>
      <c r="I136" s="237"/>
      <c r="J136" s="237"/>
      <c r="K136" s="237"/>
      <c r="L136" s="237"/>
      <c r="M136" s="233"/>
      <c r="N136" s="233"/>
      <c r="O136" s="233"/>
      <c r="P136" s="233"/>
      <c r="Q136" s="233"/>
      <c r="R136" s="233"/>
      <c r="S136" s="233"/>
    </row>
    <row r="137" spans="1:19" s="58" customFormat="1" ht="18" customHeight="1" x14ac:dyDescent="0.45">
      <c r="A137" s="234"/>
      <c r="B137" s="234"/>
      <c r="C137" s="234"/>
      <c r="D137" s="234"/>
      <c r="E137" s="239"/>
      <c r="F137" s="234"/>
      <c r="G137" s="234"/>
      <c r="H137" s="237"/>
      <c r="I137" s="237"/>
      <c r="J137" s="237"/>
      <c r="K137" s="237"/>
      <c r="L137" s="237"/>
      <c r="M137" s="233"/>
      <c r="N137" s="233"/>
      <c r="O137" s="233"/>
      <c r="P137" s="233"/>
      <c r="Q137" s="233"/>
      <c r="R137" s="233"/>
      <c r="S137" s="233"/>
    </row>
    <row r="138" spans="1:19" s="58" customFormat="1" ht="18" customHeight="1" x14ac:dyDescent="0.45">
      <c r="A138" s="234"/>
      <c r="B138" s="234"/>
      <c r="C138" s="234"/>
      <c r="D138" s="234"/>
      <c r="E138" s="241"/>
      <c r="F138" s="234"/>
      <c r="G138" s="234"/>
      <c r="H138" s="237"/>
      <c r="I138" s="237"/>
      <c r="J138" s="237"/>
      <c r="K138" s="237"/>
      <c r="L138" s="237"/>
      <c r="M138" s="233"/>
      <c r="N138" s="233"/>
      <c r="O138" s="233"/>
      <c r="P138" s="233"/>
      <c r="Q138" s="233"/>
      <c r="R138" s="233"/>
      <c r="S138" s="233"/>
    </row>
    <row r="139" spans="1:19" s="58" customFormat="1" ht="18" customHeight="1" x14ac:dyDescent="0.45">
      <c r="A139" s="234"/>
      <c r="B139" s="234"/>
      <c r="C139" s="234"/>
      <c r="D139" s="234"/>
      <c r="E139" s="242"/>
      <c r="F139" s="234"/>
      <c r="G139" s="234"/>
      <c r="H139" s="237"/>
      <c r="I139" s="237"/>
      <c r="J139" s="237"/>
      <c r="K139" s="237"/>
      <c r="L139" s="237"/>
      <c r="M139" s="233"/>
      <c r="N139" s="233"/>
      <c r="O139" s="233"/>
      <c r="P139" s="233"/>
      <c r="Q139" s="233"/>
      <c r="R139" s="233"/>
      <c r="S139" s="233"/>
    </row>
    <row r="140" spans="1:19" s="58" customFormat="1" ht="18" customHeight="1" x14ac:dyDescent="0.45">
      <c r="A140" s="234"/>
      <c r="B140" s="234"/>
      <c r="C140" s="234"/>
      <c r="D140" s="243"/>
      <c r="E140" s="244"/>
      <c r="F140" s="234"/>
      <c r="G140" s="234"/>
      <c r="H140" s="237"/>
      <c r="I140" s="237"/>
      <c r="J140" s="237"/>
      <c r="K140" s="237"/>
      <c r="L140" s="237"/>
      <c r="M140" s="233"/>
      <c r="N140" s="233"/>
      <c r="O140" s="233"/>
      <c r="P140" s="233"/>
      <c r="Q140" s="233"/>
      <c r="R140" s="233"/>
      <c r="S140" s="233"/>
    </row>
    <row r="141" spans="1:19" s="58" customFormat="1" ht="18" customHeight="1" x14ac:dyDescent="0.45">
      <c r="A141" s="234"/>
      <c r="B141" s="234"/>
      <c r="C141" s="234"/>
      <c r="D141" s="234"/>
      <c r="E141" s="234"/>
      <c r="F141" s="234"/>
      <c r="G141" s="234"/>
      <c r="H141" s="237"/>
      <c r="I141" s="237"/>
      <c r="J141" s="237"/>
      <c r="K141" s="237"/>
      <c r="L141" s="237"/>
      <c r="M141" s="233"/>
      <c r="N141" s="233"/>
      <c r="O141" s="233"/>
      <c r="P141" s="233"/>
      <c r="Q141" s="233"/>
      <c r="R141" s="233"/>
      <c r="S141" s="233"/>
    </row>
    <row r="142" spans="1:19" s="58" customFormat="1" ht="18" customHeight="1" x14ac:dyDescent="0.45">
      <c r="A142" s="234"/>
      <c r="B142" s="234"/>
      <c r="C142" s="234"/>
      <c r="D142" s="236"/>
      <c r="E142" s="234"/>
      <c r="F142" s="234"/>
      <c r="G142" s="234"/>
      <c r="H142" s="245"/>
      <c r="I142" s="245"/>
      <c r="J142" s="245"/>
      <c r="K142" s="245"/>
      <c r="L142" s="245"/>
      <c r="M142" s="237"/>
      <c r="N142" s="233"/>
      <c r="O142" s="233"/>
      <c r="P142" s="246"/>
      <c r="Q142" s="233"/>
      <c r="R142" s="233"/>
      <c r="S142" s="233"/>
    </row>
    <row r="143" spans="1:19" s="58" customFormat="1" ht="18" customHeight="1" x14ac:dyDescent="0.45">
      <c r="A143" s="234"/>
      <c r="B143" s="234"/>
      <c r="C143" s="234"/>
      <c r="D143" s="234"/>
      <c r="E143" s="234"/>
      <c r="F143" s="234"/>
      <c r="G143" s="234"/>
      <c r="H143" s="247"/>
      <c r="I143" s="247"/>
      <c r="J143" s="247"/>
      <c r="K143" s="247"/>
      <c r="L143" s="247"/>
      <c r="M143" s="247"/>
      <c r="N143" s="247"/>
      <c r="O143" s="233"/>
      <c r="P143" s="233"/>
      <c r="Q143" s="233"/>
      <c r="R143" s="245"/>
      <c r="S143" s="233"/>
    </row>
    <row r="144" spans="1:19" s="58" customFormat="1" ht="18" customHeight="1" x14ac:dyDescent="0.45">
      <c r="A144" s="234"/>
      <c r="B144" s="234"/>
      <c r="C144" s="234"/>
      <c r="D144" s="234"/>
      <c r="E144" s="234"/>
      <c r="F144" s="234"/>
      <c r="G144" s="234"/>
      <c r="H144" s="237"/>
      <c r="I144" s="248"/>
      <c r="J144" s="249"/>
      <c r="K144" s="249"/>
      <c r="L144" s="249"/>
      <c r="M144" s="250"/>
      <c r="N144" s="233"/>
      <c r="O144" s="233"/>
      <c r="P144" s="250"/>
      <c r="Q144" s="233"/>
      <c r="R144" s="245"/>
      <c r="S144" s="233"/>
    </row>
    <row r="145" spans="1:19" s="58" customFormat="1" ht="18" customHeight="1" x14ac:dyDescent="0.45">
      <c r="A145" s="234"/>
      <c r="B145" s="234"/>
      <c r="C145" s="234"/>
      <c r="D145" s="234"/>
      <c r="E145" s="234"/>
      <c r="F145" s="234"/>
      <c r="G145" s="234"/>
      <c r="H145" s="237"/>
      <c r="I145" s="251"/>
      <c r="J145" s="251"/>
      <c r="K145" s="251"/>
      <c r="L145" s="251"/>
      <c r="M145" s="251"/>
      <c r="N145" s="252"/>
      <c r="O145" s="233"/>
      <c r="P145" s="250"/>
      <c r="Q145" s="233"/>
      <c r="R145" s="253"/>
      <c r="S145" s="233"/>
    </row>
    <row r="146" spans="1:19" s="58" customFormat="1" ht="18" customHeight="1" x14ac:dyDescent="0.45">
      <c r="A146" s="234"/>
      <c r="B146" s="234"/>
      <c r="C146" s="234"/>
      <c r="D146" s="234"/>
      <c r="E146" s="234"/>
      <c r="F146" s="234"/>
      <c r="G146" s="234"/>
      <c r="H146" s="237"/>
      <c r="I146" s="237"/>
      <c r="J146" s="237"/>
      <c r="K146" s="237"/>
      <c r="L146" s="237"/>
      <c r="M146" s="233"/>
      <c r="N146" s="233"/>
      <c r="O146" s="233"/>
      <c r="P146" s="233"/>
      <c r="Q146" s="233"/>
      <c r="R146" s="233"/>
      <c r="S146" s="233"/>
    </row>
    <row r="147" spans="1:19" s="58" customFormat="1" ht="18" customHeight="1" x14ac:dyDescent="0.45">
      <c r="A147" s="234"/>
      <c r="B147" s="234"/>
      <c r="C147" s="234"/>
      <c r="D147" s="234"/>
      <c r="E147" s="234"/>
      <c r="F147" s="234"/>
      <c r="G147" s="234"/>
      <c r="H147" s="237"/>
      <c r="I147" s="237"/>
      <c r="J147" s="237"/>
      <c r="K147" s="237"/>
      <c r="L147" s="237"/>
      <c r="M147" s="237"/>
      <c r="N147" s="233"/>
      <c r="O147" s="233"/>
      <c r="P147" s="233"/>
      <c r="Q147" s="233"/>
      <c r="R147" s="233"/>
      <c r="S147" s="233"/>
    </row>
    <row r="148" spans="1:19" s="58" customFormat="1" ht="18" customHeight="1" x14ac:dyDescent="0.45">
      <c r="A148" s="234"/>
      <c r="B148" s="234"/>
      <c r="C148" s="234"/>
      <c r="D148" s="234"/>
      <c r="E148" s="234"/>
      <c r="F148" s="234"/>
      <c r="G148" s="234"/>
      <c r="H148" s="237"/>
      <c r="I148" s="237"/>
      <c r="J148" s="237"/>
      <c r="K148" s="237"/>
      <c r="L148" s="237"/>
      <c r="M148" s="237"/>
      <c r="N148" s="233"/>
      <c r="O148" s="233"/>
      <c r="P148" s="233"/>
      <c r="Q148" s="233"/>
      <c r="R148" s="233"/>
      <c r="S148" s="233"/>
    </row>
    <row r="149" spans="1:19" s="58" customFormat="1" ht="18" customHeight="1" x14ac:dyDescent="0.45">
      <c r="A149" s="234"/>
      <c r="B149" s="234"/>
      <c r="C149" s="234"/>
      <c r="D149" s="234"/>
      <c r="E149" s="234"/>
      <c r="F149" s="234"/>
      <c r="G149" s="234"/>
      <c r="H149" s="237"/>
      <c r="I149" s="237"/>
      <c r="J149" s="237"/>
      <c r="K149" s="237"/>
      <c r="L149" s="237"/>
      <c r="M149" s="237"/>
      <c r="N149" s="233"/>
      <c r="O149" s="233"/>
      <c r="P149" s="233"/>
      <c r="Q149" s="233"/>
      <c r="R149" s="233"/>
      <c r="S149" s="233"/>
    </row>
    <row r="150" spans="1:19" s="58" customFormat="1" ht="18" customHeight="1" x14ac:dyDescent="0.45">
      <c r="A150" s="234"/>
      <c r="B150" s="234"/>
      <c r="C150" s="234"/>
      <c r="D150" s="234"/>
      <c r="E150" s="234"/>
      <c r="F150" s="234"/>
      <c r="G150" s="234"/>
      <c r="H150" s="237"/>
      <c r="I150" s="237"/>
      <c r="J150" s="237"/>
      <c r="K150" s="237"/>
      <c r="L150" s="237"/>
      <c r="M150" s="237"/>
      <c r="N150" s="233"/>
      <c r="O150" s="233"/>
      <c r="P150" s="233"/>
      <c r="Q150" s="233"/>
      <c r="R150" s="233"/>
      <c r="S150" s="233"/>
    </row>
    <row r="151" spans="1:19" s="58" customFormat="1" ht="18" customHeight="1" x14ac:dyDescent="0.45">
      <c r="A151" s="234"/>
      <c r="B151" s="234"/>
      <c r="C151" s="234"/>
      <c r="D151" s="234"/>
      <c r="E151" s="234"/>
      <c r="F151" s="234"/>
      <c r="G151" s="234"/>
      <c r="H151" s="237"/>
      <c r="I151" s="237"/>
      <c r="J151" s="237"/>
      <c r="K151" s="237"/>
      <c r="L151" s="237"/>
      <c r="M151" s="237"/>
      <c r="N151" s="233"/>
      <c r="O151" s="233"/>
      <c r="P151" s="233"/>
      <c r="Q151" s="233"/>
      <c r="R151" s="233"/>
      <c r="S151" s="233"/>
    </row>
    <row r="152" spans="1:19" s="58" customFormat="1" ht="18" customHeight="1" x14ac:dyDescent="0.45">
      <c r="A152" s="234"/>
      <c r="B152" s="234"/>
      <c r="C152" s="234"/>
      <c r="D152" s="234"/>
      <c r="E152" s="234"/>
      <c r="F152" s="234"/>
      <c r="G152" s="234"/>
      <c r="H152" s="237"/>
      <c r="I152" s="237"/>
      <c r="J152" s="237"/>
      <c r="K152" s="237"/>
      <c r="L152" s="237"/>
      <c r="M152" s="237"/>
      <c r="N152" s="233"/>
      <c r="O152" s="233"/>
      <c r="P152" s="233"/>
      <c r="Q152" s="233"/>
      <c r="R152" s="233"/>
      <c r="S152" s="233"/>
    </row>
    <row r="153" spans="1:19" s="58" customFormat="1" ht="18" customHeight="1" x14ac:dyDescent="0.45">
      <c r="A153" s="234"/>
      <c r="B153" s="234"/>
      <c r="C153" s="234"/>
      <c r="D153" s="236"/>
      <c r="E153" s="236"/>
      <c r="F153" s="236"/>
      <c r="G153" s="236"/>
      <c r="H153" s="245"/>
      <c r="I153" s="245"/>
      <c r="J153" s="245"/>
      <c r="K153" s="245"/>
      <c r="L153" s="245"/>
      <c r="M153" s="245"/>
      <c r="N153" s="253"/>
      <c r="O153" s="233"/>
      <c r="P153" s="233"/>
      <c r="Q153" s="233"/>
      <c r="R153" s="233"/>
      <c r="S153" s="233"/>
    </row>
    <row r="154" spans="1:19" s="58" customFormat="1" ht="18" customHeight="1" x14ac:dyDescent="0.45">
      <c r="A154" s="234"/>
      <c r="B154" s="234"/>
      <c r="C154" s="234"/>
      <c r="D154" s="234"/>
      <c r="E154" s="234"/>
      <c r="F154" s="234"/>
      <c r="G154" s="234"/>
      <c r="H154" s="237"/>
      <c r="I154" s="237"/>
      <c r="J154" s="237"/>
      <c r="K154" s="237"/>
      <c r="L154" s="237"/>
      <c r="M154" s="234"/>
      <c r="N154" s="233"/>
      <c r="O154" s="233"/>
      <c r="P154" s="233"/>
      <c r="Q154" s="233"/>
      <c r="R154" s="233"/>
      <c r="S154" s="233"/>
    </row>
    <row r="155" spans="1:19" s="58" customFormat="1" ht="18" customHeight="1" x14ac:dyDescent="0.45">
      <c r="A155" s="234"/>
      <c r="B155" s="234"/>
      <c r="C155" s="234"/>
      <c r="D155" s="236"/>
      <c r="E155" s="236"/>
      <c r="F155" s="236"/>
      <c r="G155" s="236"/>
      <c r="H155" s="245"/>
      <c r="I155" s="245"/>
      <c r="J155" s="245"/>
      <c r="K155" s="245"/>
      <c r="L155" s="245"/>
      <c r="M155" s="245"/>
      <c r="N155" s="245"/>
      <c r="O155" s="233"/>
      <c r="P155" s="233"/>
      <c r="Q155" s="233"/>
      <c r="R155" s="233"/>
      <c r="S155" s="233"/>
    </row>
    <row r="156" spans="1:19" s="58" customFormat="1" ht="18" customHeight="1" x14ac:dyDescent="0.45">
      <c r="A156" s="233"/>
      <c r="B156" s="233"/>
      <c r="C156" s="233"/>
      <c r="D156" s="254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33"/>
      <c r="Q156" s="233"/>
      <c r="R156" s="233"/>
      <c r="S156" s="233"/>
    </row>
    <row r="157" spans="1:19" s="58" customFormat="1" ht="29.25" customHeight="1" x14ac:dyDescent="0.45">
      <c r="A157" s="233"/>
      <c r="B157" s="233"/>
      <c r="C157" s="233"/>
      <c r="D157" s="256"/>
      <c r="E157" s="257"/>
      <c r="F157" s="257"/>
      <c r="G157" s="257"/>
      <c r="H157" s="257"/>
      <c r="I157" s="256"/>
      <c r="J157" s="256"/>
      <c r="K157" s="256"/>
      <c r="L157" s="256"/>
      <c r="M157" s="256"/>
      <c r="N157" s="256"/>
      <c r="O157" s="256"/>
      <c r="P157" s="233"/>
      <c r="Q157" s="233"/>
      <c r="R157" s="233"/>
      <c r="S157" s="233"/>
    </row>
    <row r="158" spans="1:19" s="58" customFormat="1" ht="18" customHeight="1" x14ac:dyDescent="0.45">
      <c r="A158" s="233"/>
      <c r="B158" s="233"/>
      <c r="C158" s="233"/>
      <c r="D158" s="258"/>
      <c r="E158" s="259"/>
      <c r="F158" s="259"/>
      <c r="G158" s="259"/>
      <c r="H158" s="259"/>
      <c r="I158" s="260"/>
      <c r="J158" s="261"/>
      <c r="K158" s="261"/>
      <c r="L158" s="261"/>
      <c r="M158" s="261"/>
      <c r="N158" s="261"/>
      <c r="O158" s="261"/>
      <c r="P158" s="246"/>
      <c r="Q158" s="233"/>
      <c r="R158" s="233"/>
      <c r="S158" s="233"/>
    </row>
    <row r="159" spans="1:19" s="58" customFormat="1" ht="18" customHeight="1" x14ac:dyDescent="0.45">
      <c r="A159" s="233"/>
      <c r="B159" s="233"/>
      <c r="C159" s="233"/>
      <c r="D159" s="262"/>
      <c r="E159" s="263"/>
      <c r="F159" s="263"/>
      <c r="G159" s="263"/>
      <c r="H159" s="263"/>
      <c r="I159" s="264"/>
      <c r="J159" s="265"/>
      <c r="K159" s="265"/>
      <c r="L159" s="265"/>
      <c r="M159" s="265"/>
      <c r="N159" s="265"/>
      <c r="O159" s="265"/>
      <c r="P159" s="266"/>
      <c r="Q159" s="233"/>
      <c r="R159" s="233"/>
      <c r="S159" s="233"/>
    </row>
    <row r="160" spans="1:19" s="58" customFormat="1" ht="18" customHeight="1" x14ac:dyDescent="0.45">
      <c r="A160" s="233"/>
      <c r="B160" s="233"/>
      <c r="C160" s="233"/>
      <c r="D160" s="267"/>
      <c r="E160" s="268"/>
      <c r="F160" s="268"/>
      <c r="G160" s="268"/>
      <c r="H160" s="268"/>
      <c r="I160" s="269"/>
      <c r="J160" s="270"/>
      <c r="K160" s="270"/>
      <c r="L160" s="270"/>
      <c r="M160" s="270"/>
      <c r="N160" s="270"/>
      <c r="O160" s="270"/>
      <c r="P160" s="246"/>
      <c r="Q160" s="233"/>
      <c r="R160" s="233"/>
      <c r="S160" s="233"/>
    </row>
    <row r="161" spans="1:19" s="58" customFormat="1" ht="18" customHeight="1" x14ac:dyDescent="0.45">
      <c r="A161" s="233"/>
      <c r="B161" s="233"/>
      <c r="C161" s="233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33"/>
      <c r="Q161" s="233"/>
      <c r="R161" s="233"/>
      <c r="S161" s="233"/>
    </row>
    <row r="162" spans="1:19" s="58" customFormat="1" ht="18" customHeight="1" x14ac:dyDescent="0.45">
      <c r="A162" s="234"/>
      <c r="B162" s="234"/>
      <c r="C162" s="234"/>
      <c r="D162" s="234"/>
      <c r="E162" s="234"/>
      <c r="F162" s="234"/>
      <c r="G162" s="234"/>
      <c r="H162" s="237"/>
      <c r="I162" s="237"/>
      <c r="J162" s="237"/>
      <c r="K162" s="237"/>
      <c r="L162" s="237"/>
      <c r="M162" s="234"/>
      <c r="N162" s="233"/>
      <c r="O162" s="233"/>
      <c r="P162" s="233"/>
      <c r="Q162" s="233"/>
      <c r="R162" s="233"/>
      <c r="S162" s="233"/>
    </row>
    <row r="163" spans="1:19" s="58" customFormat="1" ht="18" customHeight="1" x14ac:dyDescent="0.45">
      <c r="A163" s="234"/>
      <c r="B163" s="234"/>
      <c r="C163" s="234"/>
      <c r="D163" s="234"/>
      <c r="E163" s="234"/>
      <c r="F163" s="234"/>
      <c r="G163" s="234"/>
      <c r="H163" s="237"/>
      <c r="I163" s="237"/>
      <c r="J163" s="237"/>
      <c r="K163" s="237"/>
      <c r="L163" s="237"/>
      <c r="M163" s="234"/>
      <c r="N163" s="233"/>
      <c r="O163" s="233"/>
      <c r="P163" s="233"/>
      <c r="Q163" s="233"/>
      <c r="R163" s="233"/>
      <c r="S163" s="233"/>
    </row>
    <row r="164" spans="1:19" s="58" customFormat="1" ht="18" customHeight="1" x14ac:dyDescent="0.45">
      <c r="A164" s="234"/>
      <c r="B164" s="234"/>
      <c r="C164" s="234"/>
      <c r="D164" s="234"/>
      <c r="E164" s="234"/>
      <c r="F164" s="234"/>
      <c r="G164" s="234"/>
      <c r="H164" s="237"/>
      <c r="I164" s="237"/>
      <c r="J164" s="237"/>
      <c r="K164" s="237"/>
      <c r="L164" s="237"/>
      <c r="M164" s="234"/>
      <c r="N164" s="233"/>
      <c r="O164" s="233"/>
      <c r="P164" s="233"/>
      <c r="Q164" s="233"/>
      <c r="R164" s="233"/>
      <c r="S164" s="233"/>
    </row>
    <row r="165" spans="1:19" s="58" customFormat="1" ht="18" customHeight="1" x14ac:dyDescent="0.45">
      <c r="A165" s="234"/>
      <c r="B165" s="234"/>
      <c r="C165" s="234"/>
      <c r="D165" s="234"/>
      <c r="E165" s="234"/>
      <c r="F165" s="234"/>
      <c r="G165" s="234"/>
      <c r="H165" s="237"/>
      <c r="I165" s="237"/>
      <c r="J165" s="237"/>
      <c r="K165" s="237"/>
      <c r="L165" s="237"/>
      <c r="M165" s="233"/>
      <c r="N165" s="233"/>
      <c r="O165" s="233"/>
      <c r="P165" s="233"/>
      <c r="Q165" s="233"/>
      <c r="R165" s="233"/>
      <c r="S165" s="233"/>
    </row>
    <row r="166" spans="1:19" s="58" customFormat="1" ht="18" customHeight="1" x14ac:dyDescent="0.45">
      <c r="A166" s="234"/>
      <c r="B166" s="234"/>
      <c r="C166" s="234"/>
      <c r="D166" s="236"/>
      <c r="E166" s="234"/>
      <c r="F166" s="234"/>
      <c r="G166" s="234"/>
      <c r="H166" s="237"/>
      <c r="I166" s="245"/>
      <c r="J166" s="237"/>
      <c r="K166" s="237"/>
      <c r="L166" s="237"/>
      <c r="M166" s="245"/>
      <c r="N166" s="237"/>
      <c r="O166" s="237"/>
      <c r="P166" s="233"/>
      <c r="Q166" s="233"/>
      <c r="R166" s="233"/>
      <c r="S166" s="233"/>
    </row>
    <row r="167" spans="1:19" s="58" customFormat="1" ht="18" customHeight="1" x14ac:dyDescent="0.45">
      <c r="A167" s="234"/>
      <c r="B167" s="234"/>
      <c r="C167" s="234"/>
      <c r="D167" s="234"/>
      <c r="E167" s="234"/>
      <c r="F167" s="245"/>
      <c r="G167" s="234"/>
      <c r="H167" s="237"/>
      <c r="I167" s="237"/>
      <c r="J167" s="237"/>
      <c r="K167" s="237"/>
      <c r="L167" s="237"/>
      <c r="M167" s="237"/>
      <c r="N167" s="237"/>
      <c r="O167" s="237"/>
      <c r="P167" s="233"/>
      <c r="Q167" s="233"/>
      <c r="R167" s="233"/>
      <c r="S167" s="233"/>
    </row>
    <row r="168" spans="1:19" s="58" customFormat="1" ht="18" customHeight="1" x14ac:dyDescent="0.45">
      <c r="A168" s="234"/>
      <c r="B168" s="234"/>
      <c r="C168" s="234"/>
      <c r="D168" s="234"/>
      <c r="E168" s="234"/>
      <c r="F168" s="245"/>
      <c r="G168" s="234"/>
      <c r="H168" s="237"/>
      <c r="I168" s="234"/>
      <c r="J168" s="234"/>
      <c r="K168" s="245"/>
      <c r="L168" s="237"/>
      <c r="M168" s="234"/>
      <c r="N168" s="234"/>
      <c r="O168" s="245"/>
      <c r="P168" s="233"/>
      <c r="Q168" s="233"/>
      <c r="R168" s="233"/>
      <c r="S168" s="233"/>
    </row>
    <row r="169" spans="1:19" s="58" customFormat="1" ht="18" customHeight="1" x14ac:dyDescent="0.45">
      <c r="A169" s="234"/>
      <c r="B169" s="234"/>
      <c r="C169" s="234"/>
      <c r="D169" s="234"/>
      <c r="E169" s="234"/>
      <c r="F169" s="245"/>
      <c r="G169" s="234"/>
      <c r="H169" s="237"/>
      <c r="I169" s="234"/>
      <c r="J169" s="237"/>
      <c r="K169" s="237"/>
      <c r="L169" s="237"/>
      <c r="M169" s="234"/>
      <c r="N169" s="237"/>
      <c r="O169" s="271"/>
      <c r="P169" s="233"/>
      <c r="Q169" s="233"/>
      <c r="R169" s="233"/>
      <c r="S169" s="233"/>
    </row>
    <row r="170" spans="1:19" s="58" customFormat="1" ht="18" customHeight="1" x14ac:dyDescent="0.45">
      <c r="A170" s="234"/>
      <c r="B170" s="234"/>
      <c r="C170" s="234"/>
      <c r="D170" s="234"/>
      <c r="E170" s="234"/>
      <c r="F170" s="245"/>
      <c r="G170" s="234"/>
      <c r="H170" s="237"/>
      <c r="I170" s="234"/>
      <c r="J170" s="237"/>
      <c r="K170" s="237"/>
      <c r="L170" s="237"/>
      <c r="M170" s="226"/>
      <c r="N170" s="227"/>
      <c r="O170" s="227"/>
      <c r="P170" s="233"/>
      <c r="Q170" s="233"/>
      <c r="R170" s="233"/>
      <c r="S170" s="233"/>
    </row>
    <row r="171" spans="1:19" s="58" customFormat="1" ht="18" customHeight="1" x14ac:dyDescent="0.45">
      <c r="A171" s="234"/>
      <c r="B171" s="234"/>
      <c r="C171" s="234"/>
      <c r="D171" s="234"/>
      <c r="E171" s="234"/>
      <c r="F171" s="237"/>
      <c r="G171" s="234"/>
      <c r="H171" s="272"/>
      <c r="I171" s="272"/>
      <c r="J171" s="272"/>
      <c r="K171" s="272"/>
      <c r="L171" s="272"/>
      <c r="M171" s="272"/>
      <c r="N171" s="272"/>
      <c r="O171" s="227"/>
      <c r="P171" s="233"/>
      <c r="Q171" s="233"/>
      <c r="R171" s="233"/>
      <c r="S171" s="233"/>
    </row>
    <row r="172" spans="1:19" s="58" customFormat="1" ht="18" customHeight="1" x14ac:dyDescent="0.45">
      <c r="A172" s="234"/>
      <c r="B172" s="234"/>
      <c r="C172" s="234"/>
      <c r="D172" s="234"/>
      <c r="E172" s="234"/>
      <c r="F172" s="234"/>
      <c r="G172" s="234"/>
      <c r="H172" s="237"/>
      <c r="I172" s="237"/>
      <c r="J172" s="237"/>
      <c r="K172" s="237"/>
      <c r="L172" s="237"/>
      <c r="M172" s="227"/>
      <c r="N172" s="227"/>
      <c r="O172" s="227"/>
      <c r="P172" s="233"/>
      <c r="Q172" s="233"/>
      <c r="R172" s="233"/>
      <c r="S172" s="233"/>
    </row>
    <row r="173" spans="1:19" s="58" customFormat="1" ht="18" customHeight="1" x14ac:dyDescent="0.45">
      <c r="A173" s="234"/>
      <c r="B173" s="234"/>
      <c r="C173" s="234"/>
      <c r="D173" s="234"/>
      <c r="E173" s="234"/>
      <c r="F173" s="273"/>
      <c r="G173" s="234"/>
      <c r="H173" s="237"/>
      <c r="I173" s="234"/>
      <c r="J173" s="237"/>
      <c r="K173" s="274"/>
      <c r="L173" s="233"/>
      <c r="M173" s="233"/>
      <c r="N173" s="233"/>
      <c r="O173" s="227"/>
      <c r="P173" s="233"/>
      <c r="Q173" s="233"/>
      <c r="R173" s="233"/>
      <c r="S173" s="233"/>
    </row>
    <row r="174" spans="1:19" s="58" customFormat="1" ht="18" customHeight="1" x14ac:dyDescent="0.45">
      <c r="A174" s="226"/>
      <c r="B174" s="226"/>
      <c r="C174" s="226"/>
      <c r="D174" s="226"/>
      <c r="E174" s="226"/>
      <c r="F174" s="226"/>
      <c r="G174" s="226"/>
      <c r="H174" s="227"/>
      <c r="I174" s="228"/>
      <c r="J174" s="229"/>
      <c r="K174" s="229"/>
      <c r="L174" s="229"/>
      <c r="M174" s="229"/>
      <c r="N174" s="229"/>
      <c r="O174" s="233"/>
      <c r="P174" s="233"/>
      <c r="Q174" s="233"/>
      <c r="R174" s="233"/>
      <c r="S174" s="233"/>
    </row>
    <row r="175" spans="1:19" s="58" customFormat="1" ht="18" customHeight="1" x14ac:dyDescent="0.45">
      <c r="A175" s="226"/>
      <c r="B175" s="226"/>
      <c r="C175" s="226"/>
      <c r="D175" s="226"/>
      <c r="E175" s="226"/>
      <c r="F175" s="226"/>
      <c r="G175" s="226"/>
      <c r="H175" s="230"/>
      <c r="I175" s="231"/>
      <c r="J175" s="227"/>
      <c r="K175" s="227"/>
      <c r="L175" s="227"/>
      <c r="M175" s="227"/>
      <c r="N175" s="227"/>
      <c r="O175" s="233"/>
      <c r="P175" s="233"/>
      <c r="Q175" s="233"/>
      <c r="R175" s="233"/>
      <c r="S175" s="233"/>
    </row>
    <row r="176" spans="1:19" s="58" customFormat="1" ht="18" customHeight="1" x14ac:dyDescent="0.45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3"/>
      <c r="S176" s="233"/>
    </row>
    <row r="177" spans="1:19" s="58" customFormat="1" ht="18" customHeight="1" x14ac:dyDescent="0.45">
      <c r="A177" s="234"/>
      <c r="B177" s="234"/>
      <c r="C177" s="234"/>
      <c r="D177" s="234"/>
      <c r="E177" s="234"/>
      <c r="F177" s="234"/>
      <c r="G177" s="234"/>
      <c r="H177" s="237"/>
      <c r="I177" s="237"/>
      <c r="J177" s="237"/>
      <c r="K177" s="237"/>
      <c r="L177" s="237"/>
      <c r="M177" s="233"/>
      <c r="N177" s="233"/>
      <c r="O177" s="233"/>
      <c r="P177" s="233"/>
      <c r="Q177" s="233"/>
      <c r="R177" s="233"/>
      <c r="S177" s="233"/>
    </row>
    <row r="178" spans="1:19" s="58" customFormat="1" ht="18" customHeight="1" x14ac:dyDescent="0.45">
      <c r="A178" s="234"/>
      <c r="B178" s="234"/>
      <c r="C178" s="234"/>
      <c r="D178" s="234"/>
      <c r="E178" s="234"/>
      <c r="F178" s="234"/>
      <c r="G178" s="234"/>
      <c r="H178" s="275"/>
      <c r="I178" s="275"/>
      <c r="J178" s="275"/>
      <c r="K178" s="275"/>
      <c r="L178" s="275"/>
      <c r="M178" s="275"/>
      <c r="N178" s="275"/>
      <c r="O178" s="233"/>
      <c r="P178" s="233"/>
      <c r="Q178" s="233"/>
      <c r="R178" s="233"/>
      <c r="S178" s="233"/>
    </row>
    <row r="179" spans="1:19" s="58" customFormat="1" ht="18" customHeight="1" x14ac:dyDescent="0.45">
      <c r="A179" s="234"/>
      <c r="B179" s="234"/>
      <c r="C179" s="234"/>
      <c r="D179" s="234"/>
      <c r="E179" s="234"/>
      <c r="F179" s="234"/>
      <c r="G179" s="234"/>
      <c r="H179" s="235"/>
      <c r="I179" s="235"/>
      <c r="J179" s="235"/>
      <c r="K179" s="235"/>
      <c r="L179" s="235"/>
      <c r="M179" s="233"/>
      <c r="N179" s="233"/>
      <c r="O179" s="233"/>
      <c r="P179" s="233"/>
      <c r="Q179" s="233"/>
      <c r="R179" s="233"/>
      <c r="S179" s="233"/>
    </row>
    <row r="180" spans="1:19" s="58" customFormat="1" ht="18" customHeight="1" x14ac:dyDescent="0.45">
      <c r="A180" s="234"/>
      <c r="B180" s="276"/>
      <c r="C180" s="276"/>
      <c r="D180" s="276"/>
      <c r="E180" s="276"/>
      <c r="F180" s="276"/>
      <c r="G180" s="276"/>
      <c r="H180" s="237"/>
      <c r="I180" s="237"/>
      <c r="J180" s="277"/>
      <c r="K180" s="277"/>
      <c r="L180" s="277"/>
      <c r="M180" s="277"/>
      <c r="N180" s="277"/>
      <c r="O180" s="233"/>
      <c r="P180" s="233"/>
      <c r="Q180" s="233"/>
      <c r="R180" s="233"/>
      <c r="S180" s="233"/>
    </row>
    <row r="181" spans="1:19" s="58" customFormat="1" ht="18" customHeight="1" x14ac:dyDescent="0.45">
      <c r="A181" s="234"/>
      <c r="B181" s="276"/>
      <c r="C181" s="276"/>
      <c r="D181" s="276"/>
      <c r="E181" s="276"/>
      <c r="F181" s="276"/>
      <c r="G181" s="276"/>
      <c r="H181" s="237"/>
      <c r="I181" s="278"/>
      <c r="J181" s="279"/>
      <c r="K181" s="279"/>
      <c r="L181" s="279"/>
      <c r="M181" s="279"/>
      <c r="N181" s="279"/>
      <c r="O181" s="233"/>
      <c r="P181" s="233"/>
      <c r="Q181" s="233"/>
      <c r="R181" s="233"/>
      <c r="S181" s="233"/>
    </row>
    <row r="182" spans="1:19" s="58" customFormat="1" ht="18" customHeight="1" x14ac:dyDescent="0.45">
      <c r="A182" s="234"/>
      <c r="B182" s="276"/>
      <c r="C182" s="276"/>
      <c r="D182" s="276"/>
      <c r="E182" s="276"/>
      <c r="F182" s="276"/>
      <c r="G182" s="276"/>
      <c r="H182" s="280"/>
      <c r="I182" s="281"/>
      <c r="J182" s="237"/>
      <c r="K182" s="237"/>
      <c r="L182" s="237"/>
      <c r="M182" s="237"/>
      <c r="N182" s="237"/>
      <c r="O182" s="233"/>
      <c r="P182" s="233"/>
      <c r="Q182" s="233"/>
      <c r="R182" s="233"/>
      <c r="S182" s="233"/>
    </row>
    <row r="183" spans="1:19" s="58" customFormat="1" ht="18" customHeight="1" x14ac:dyDescent="0.45">
      <c r="A183" s="234"/>
      <c r="B183" s="276"/>
      <c r="C183" s="276"/>
      <c r="D183" s="276"/>
      <c r="E183" s="276"/>
      <c r="F183" s="276"/>
      <c r="G183" s="276"/>
      <c r="H183" s="280"/>
      <c r="I183" s="281"/>
      <c r="J183" s="237"/>
      <c r="K183" s="282"/>
      <c r="L183" s="282"/>
      <c r="M183" s="282"/>
      <c r="N183" s="237"/>
      <c r="O183" s="233"/>
      <c r="P183" s="233"/>
      <c r="Q183" s="233"/>
      <c r="R183" s="233"/>
      <c r="S183" s="233"/>
    </row>
    <row r="184" spans="1:19" s="58" customFormat="1" ht="18" customHeight="1" x14ac:dyDescent="0.45">
      <c r="A184" s="234"/>
      <c r="B184" s="276"/>
      <c r="C184" s="276"/>
      <c r="D184" s="276"/>
      <c r="E184" s="276"/>
      <c r="F184" s="276"/>
      <c r="G184" s="276"/>
      <c r="H184" s="280"/>
      <c r="I184" s="283"/>
      <c r="J184" s="237"/>
      <c r="K184" s="282"/>
      <c r="L184" s="284"/>
      <c r="M184" s="282"/>
      <c r="N184" s="237"/>
      <c r="O184" s="233"/>
      <c r="P184" s="233"/>
      <c r="Q184" s="233"/>
      <c r="R184" s="233"/>
      <c r="S184" s="233"/>
    </row>
    <row r="185" spans="1:19" s="58" customFormat="1" ht="18" customHeight="1" x14ac:dyDescent="0.45">
      <c r="A185" s="234"/>
      <c r="B185" s="276"/>
      <c r="C185" s="276"/>
      <c r="D185" s="276"/>
      <c r="E185" s="276"/>
      <c r="F185" s="276"/>
      <c r="G185" s="276"/>
      <c r="H185" s="280"/>
      <c r="I185" s="285"/>
      <c r="J185" s="237"/>
      <c r="K185" s="282"/>
      <c r="L185" s="282"/>
      <c r="M185" s="282"/>
      <c r="N185" s="237"/>
      <c r="O185" s="233"/>
      <c r="P185" s="233"/>
      <c r="Q185" s="233"/>
      <c r="R185" s="233"/>
      <c r="S185" s="233"/>
    </row>
    <row r="186" spans="1:19" s="58" customFormat="1" ht="18" customHeight="1" x14ac:dyDescent="0.45">
      <c r="A186" s="234"/>
      <c r="B186" s="276"/>
      <c r="C186" s="276"/>
      <c r="D186" s="276"/>
      <c r="E186" s="276"/>
      <c r="F186" s="276"/>
      <c r="G186" s="276"/>
      <c r="H186" s="280"/>
      <c r="I186" s="285"/>
      <c r="J186" s="237"/>
      <c r="K186" s="237"/>
      <c r="L186" s="237"/>
      <c r="M186" s="237"/>
      <c r="N186" s="237"/>
      <c r="O186" s="233"/>
      <c r="P186" s="233"/>
      <c r="Q186" s="233"/>
      <c r="R186" s="233"/>
      <c r="S186" s="233"/>
    </row>
    <row r="187" spans="1:19" s="58" customFormat="1" ht="18" customHeight="1" x14ac:dyDescent="0.45">
      <c r="A187" s="234"/>
      <c r="B187" s="276"/>
      <c r="C187" s="276"/>
      <c r="D187" s="276"/>
      <c r="E187" s="276"/>
      <c r="F187" s="276"/>
      <c r="G187" s="276"/>
      <c r="H187" s="237"/>
      <c r="I187" s="237"/>
      <c r="J187" s="237"/>
      <c r="K187" s="237"/>
      <c r="L187" s="237"/>
      <c r="M187" s="233"/>
      <c r="N187" s="233"/>
      <c r="O187" s="233"/>
      <c r="P187" s="233"/>
      <c r="Q187" s="233"/>
      <c r="R187" s="233"/>
      <c r="S187" s="233"/>
    </row>
    <row r="188" spans="1:19" s="58" customFormat="1" ht="18" customHeight="1" x14ac:dyDescent="0.45">
      <c r="A188" s="234"/>
      <c r="B188" s="276"/>
      <c r="C188" s="276"/>
      <c r="D188" s="276"/>
      <c r="E188" s="276"/>
      <c r="F188" s="276"/>
      <c r="G188" s="276"/>
      <c r="H188" s="237"/>
      <c r="I188" s="237"/>
      <c r="J188" s="237"/>
      <c r="K188" s="237"/>
      <c r="L188" s="237"/>
      <c r="M188" s="233"/>
      <c r="N188" s="233"/>
      <c r="O188" s="233"/>
      <c r="P188" s="233"/>
      <c r="Q188" s="233"/>
      <c r="R188" s="233"/>
      <c r="S188" s="233"/>
    </row>
    <row r="189" spans="1:19" s="58" customFormat="1" ht="18" customHeight="1" x14ac:dyDescent="0.45">
      <c r="A189" s="234"/>
      <c r="B189" s="276"/>
      <c r="C189" s="276"/>
      <c r="D189" s="276"/>
      <c r="E189" s="276"/>
      <c r="F189" s="276"/>
      <c r="G189" s="276"/>
      <c r="H189" s="237"/>
      <c r="I189" s="237"/>
      <c r="J189" s="277"/>
      <c r="K189" s="277"/>
      <c r="L189" s="277"/>
      <c r="M189" s="277"/>
      <c r="N189" s="277"/>
      <c r="O189" s="233"/>
      <c r="P189" s="233"/>
      <c r="Q189" s="233"/>
      <c r="R189" s="233"/>
      <c r="S189" s="233"/>
    </row>
    <row r="190" spans="1:19" s="58" customFormat="1" ht="18" customHeight="1" x14ac:dyDescent="0.45">
      <c r="A190" s="234"/>
      <c r="B190" s="276"/>
      <c r="C190" s="276"/>
      <c r="D190" s="276"/>
      <c r="E190" s="276"/>
      <c r="F190" s="276"/>
      <c r="G190" s="276"/>
      <c r="H190" s="237"/>
      <c r="I190" s="278"/>
      <c r="J190" s="283"/>
      <c r="K190" s="283"/>
      <c r="L190" s="283"/>
      <c r="M190" s="283"/>
      <c r="N190" s="283"/>
      <c r="O190" s="233"/>
      <c r="P190" s="233"/>
      <c r="Q190" s="233"/>
      <c r="R190" s="233"/>
      <c r="S190" s="233"/>
    </row>
    <row r="191" spans="1:19" s="58" customFormat="1" ht="18" customHeight="1" x14ac:dyDescent="0.45">
      <c r="A191" s="234"/>
      <c r="B191" s="276"/>
      <c r="C191" s="276"/>
      <c r="D191" s="276"/>
      <c r="E191" s="276"/>
      <c r="F191" s="276"/>
      <c r="G191" s="276"/>
      <c r="H191" s="280"/>
      <c r="I191" s="281"/>
      <c r="J191" s="237"/>
      <c r="K191" s="237"/>
      <c r="L191" s="237"/>
      <c r="M191" s="237"/>
      <c r="N191" s="237"/>
      <c r="O191" s="233"/>
      <c r="P191" s="233"/>
      <c r="Q191" s="233"/>
      <c r="R191" s="233"/>
      <c r="S191" s="233"/>
    </row>
    <row r="192" spans="1:19" s="58" customFormat="1" ht="18" customHeight="1" x14ac:dyDescent="0.45">
      <c r="A192" s="234"/>
      <c r="B192" s="276"/>
      <c r="C192" s="276"/>
      <c r="D192" s="276"/>
      <c r="E192" s="276"/>
      <c r="F192" s="276"/>
      <c r="G192" s="276"/>
      <c r="H192" s="280"/>
      <c r="I192" s="281"/>
      <c r="J192" s="237"/>
      <c r="K192" s="282"/>
      <c r="L192" s="282"/>
      <c r="M192" s="282"/>
      <c r="N192" s="237"/>
      <c r="O192" s="233"/>
      <c r="P192" s="233"/>
      <c r="Q192" s="233"/>
      <c r="R192" s="233"/>
      <c r="S192" s="233"/>
    </row>
    <row r="193" spans="1:19" s="58" customFormat="1" ht="18" customHeight="1" x14ac:dyDescent="0.45">
      <c r="A193" s="234"/>
      <c r="B193" s="276"/>
      <c r="C193" s="276"/>
      <c r="D193" s="276"/>
      <c r="E193" s="276"/>
      <c r="F193" s="276"/>
      <c r="G193" s="276"/>
      <c r="H193" s="280"/>
      <c r="I193" s="283"/>
      <c r="J193" s="237"/>
      <c r="K193" s="282"/>
      <c r="L193" s="284"/>
      <c r="M193" s="282"/>
      <c r="N193" s="237"/>
      <c r="O193" s="233"/>
      <c r="P193" s="233"/>
      <c r="Q193" s="233"/>
      <c r="R193" s="233"/>
      <c r="S193" s="233"/>
    </row>
    <row r="194" spans="1:19" s="58" customFormat="1" ht="18" customHeight="1" x14ac:dyDescent="0.45">
      <c r="A194" s="234"/>
      <c r="B194" s="276"/>
      <c r="C194" s="276"/>
      <c r="D194" s="276"/>
      <c r="E194" s="276"/>
      <c r="F194" s="276"/>
      <c r="G194" s="276"/>
      <c r="H194" s="280"/>
      <c r="I194" s="285"/>
      <c r="J194" s="237"/>
      <c r="K194" s="282"/>
      <c r="L194" s="282"/>
      <c r="M194" s="282"/>
      <c r="N194" s="237"/>
      <c r="O194" s="233"/>
      <c r="P194" s="233"/>
      <c r="Q194" s="233"/>
      <c r="R194" s="233"/>
      <c r="S194" s="233"/>
    </row>
    <row r="195" spans="1:19" s="58" customFormat="1" ht="18" customHeight="1" x14ac:dyDescent="0.45">
      <c r="A195" s="234"/>
      <c r="B195" s="276"/>
      <c r="C195" s="276"/>
      <c r="D195" s="276"/>
      <c r="E195" s="276"/>
      <c r="F195" s="276"/>
      <c r="G195" s="276"/>
      <c r="H195" s="280"/>
      <c r="I195" s="285"/>
      <c r="J195" s="237"/>
      <c r="K195" s="237"/>
      <c r="L195" s="237"/>
      <c r="M195" s="237"/>
      <c r="N195" s="237"/>
      <c r="O195" s="233"/>
      <c r="P195" s="233"/>
      <c r="Q195" s="233"/>
      <c r="R195" s="233"/>
      <c r="S195" s="233"/>
    </row>
    <row r="196" spans="1:19" s="58" customFormat="1" ht="18" customHeight="1" x14ac:dyDescent="0.45">
      <c r="A196" s="234"/>
      <c r="B196" s="234"/>
      <c r="C196" s="234"/>
      <c r="D196" s="234"/>
      <c r="E196" s="234"/>
      <c r="F196" s="234"/>
      <c r="G196" s="234"/>
      <c r="H196" s="235"/>
      <c r="I196" s="235"/>
      <c r="J196" s="235"/>
      <c r="K196" s="235"/>
      <c r="L196" s="235"/>
      <c r="M196" s="233"/>
      <c r="N196" s="233"/>
      <c r="O196" s="233"/>
      <c r="P196" s="233"/>
      <c r="Q196" s="233"/>
      <c r="R196" s="233"/>
      <c r="S196" s="233"/>
    </row>
    <row r="197" spans="1:19" s="58" customFormat="1" ht="18" customHeight="1" x14ac:dyDescent="0.45">
      <c r="A197" s="234"/>
      <c r="B197" s="234"/>
      <c r="C197" s="234"/>
      <c r="D197" s="234"/>
      <c r="E197" s="234"/>
      <c r="F197" s="234"/>
      <c r="G197" s="234"/>
      <c r="H197" s="235"/>
      <c r="I197" s="235"/>
      <c r="J197" s="235"/>
      <c r="K197" s="235"/>
      <c r="L197" s="235"/>
      <c r="M197" s="233"/>
      <c r="N197" s="233"/>
      <c r="O197" s="233"/>
      <c r="P197" s="233"/>
      <c r="Q197" s="233"/>
      <c r="R197" s="233"/>
      <c r="S197" s="233"/>
    </row>
    <row r="198" spans="1:19" s="58" customFormat="1" ht="18" customHeight="1" x14ac:dyDescent="0.45">
      <c r="A198" s="234"/>
      <c r="B198" s="234"/>
      <c r="C198" s="234"/>
      <c r="D198" s="234"/>
      <c r="E198" s="234"/>
      <c r="F198" s="234"/>
      <c r="G198" s="234"/>
      <c r="H198" s="235"/>
      <c r="I198" s="235"/>
      <c r="J198" s="235"/>
      <c r="K198" s="235"/>
      <c r="L198" s="235"/>
      <c r="M198" s="233"/>
      <c r="N198" s="233"/>
      <c r="O198" s="233"/>
      <c r="P198" s="233"/>
      <c r="Q198" s="233"/>
      <c r="R198" s="233"/>
      <c r="S198" s="233"/>
    </row>
    <row r="199" spans="1:19" s="58" customFormat="1" ht="18" customHeight="1" x14ac:dyDescent="0.45">
      <c r="A199" s="234"/>
      <c r="B199" s="234"/>
      <c r="C199" s="234"/>
      <c r="D199" s="234"/>
      <c r="E199" s="234"/>
      <c r="F199" s="234"/>
      <c r="G199" s="234"/>
      <c r="H199" s="235"/>
      <c r="I199" s="235"/>
      <c r="J199" s="235"/>
      <c r="K199" s="235"/>
      <c r="L199" s="235"/>
      <c r="M199" s="233"/>
      <c r="N199" s="233"/>
      <c r="O199" s="233"/>
      <c r="P199" s="233"/>
      <c r="Q199" s="233"/>
      <c r="R199" s="233"/>
      <c r="S199" s="233"/>
    </row>
    <row r="200" spans="1:19" s="58" customFormat="1" ht="18" customHeight="1" x14ac:dyDescent="0.45">
      <c r="A200" s="234"/>
      <c r="B200" s="234"/>
      <c r="C200" s="234"/>
      <c r="D200" s="234"/>
      <c r="E200" s="234"/>
      <c r="F200" s="234"/>
      <c r="G200" s="234"/>
      <c r="H200" s="235"/>
      <c r="I200" s="235"/>
      <c r="J200" s="235"/>
      <c r="K200" s="235"/>
      <c r="L200" s="235"/>
      <c r="M200" s="233"/>
      <c r="N200" s="233"/>
      <c r="O200" s="233"/>
      <c r="P200" s="233"/>
      <c r="Q200" s="233"/>
      <c r="R200" s="233"/>
      <c r="S200" s="233"/>
    </row>
    <row r="201" spans="1:19" s="58" customFormat="1" ht="18" customHeight="1" x14ac:dyDescent="0.45">
      <c r="A201" s="234"/>
      <c r="B201" s="234"/>
      <c r="C201" s="234"/>
      <c r="D201" s="234"/>
      <c r="E201" s="234"/>
      <c r="F201" s="234"/>
      <c r="G201" s="234"/>
      <c r="H201" s="235"/>
      <c r="I201" s="235"/>
      <c r="J201" s="235"/>
      <c r="K201" s="235"/>
      <c r="L201" s="235"/>
      <c r="M201" s="233"/>
      <c r="N201" s="233"/>
      <c r="O201" s="233"/>
      <c r="P201" s="233"/>
      <c r="Q201" s="233"/>
      <c r="R201" s="233"/>
      <c r="S201" s="233"/>
    </row>
    <row r="202" spans="1:19" s="58" customFormat="1" ht="18" customHeight="1" x14ac:dyDescent="0.45">
      <c r="A202" s="234"/>
      <c r="B202" s="234"/>
      <c r="C202" s="234"/>
      <c r="D202" s="234"/>
      <c r="E202" s="234"/>
      <c r="F202" s="234"/>
      <c r="G202" s="234"/>
      <c r="H202" s="235"/>
      <c r="I202" s="235"/>
      <c r="J202" s="235"/>
      <c r="K202" s="235"/>
      <c r="L202" s="235"/>
      <c r="M202" s="233"/>
      <c r="N202" s="233"/>
      <c r="O202" s="233"/>
      <c r="P202" s="233"/>
      <c r="Q202" s="233"/>
      <c r="R202" s="233"/>
      <c r="S202" s="233"/>
    </row>
    <row r="203" spans="1:19" s="58" customFormat="1" ht="18" customHeight="1" x14ac:dyDescent="0.45">
      <c r="A203" s="234"/>
      <c r="B203" s="234"/>
      <c r="C203" s="234"/>
      <c r="D203" s="234"/>
      <c r="E203" s="234"/>
      <c r="F203" s="234"/>
      <c r="G203" s="234"/>
      <c r="H203" s="235"/>
      <c r="I203" s="235"/>
      <c r="J203" s="235"/>
      <c r="K203" s="235"/>
      <c r="L203" s="235"/>
      <c r="M203" s="233"/>
      <c r="N203" s="233"/>
      <c r="O203" s="233"/>
      <c r="P203" s="233"/>
      <c r="Q203" s="233"/>
      <c r="R203" s="233"/>
      <c r="S203" s="233"/>
    </row>
    <row r="204" spans="1:19" s="58" customFormat="1" ht="18" customHeight="1" x14ac:dyDescent="0.45">
      <c r="A204" s="234"/>
      <c r="B204" s="234"/>
      <c r="C204" s="234"/>
      <c r="D204" s="234"/>
      <c r="E204" s="234"/>
      <c r="F204" s="234"/>
      <c r="G204" s="234"/>
      <c r="H204" s="235"/>
      <c r="I204" s="235"/>
      <c r="J204" s="235"/>
      <c r="K204" s="235"/>
      <c r="L204" s="235"/>
      <c r="M204" s="233"/>
      <c r="N204" s="233"/>
      <c r="O204" s="233"/>
      <c r="P204" s="233"/>
      <c r="Q204" s="233"/>
      <c r="R204" s="233"/>
      <c r="S204" s="233"/>
    </row>
    <row r="205" spans="1:19" s="58" customFormat="1" ht="18" customHeight="1" x14ac:dyDescent="0.45">
      <c r="A205" s="234"/>
      <c r="B205" s="234"/>
      <c r="C205" s="234"/>
      <c r="D205" s="234"/>
      <c r="E205" s="234"/>
      <c r="F205" s="234"/>
      <c r="G205" s="234"/>
      <c r="H205" s="235"/>
      <c r="I205" s="235"/>
      <c r="J205" s="235"/>
      <c r="K205" s="235"/>
      <c r="L205" s="235"/>
      <c r="M205" s="233"/>
      <c r="N205" s="233"/>
      <c r="O205" s="233"/>
      <c r="P205" s="233"/>
      <c r="Q205" s="233"/>
      <c r="R205" s="233"/>
      <c r="S205" s="233"/>
    </row>
    <row r="206" spans="1:19" s="58" customFormat="1" ht="18" customHeight="1" x14ac:dyDescent="0.45">
      <c r="A206" s="234"/>
      <c r="B206" s="234"/>
      <c r="C206" s="234"/>
      <c r="D206" s="234"/>
      <c r="E206" s="234"/>
      <c r="F206" s="234"/>
      <c r="G206" s="234"/>
      <c r="H206" s="235"/>
      <c r="I206" s="235"/>
      <c r="J206" s="235"/>
      <c r="K206" s="235"/>
      <c r="L206" s="235"/>
      <c r="M206" s="233"/>
      <c r="N206" s="233"/>
      <c r="O206" s="233"/>
      <c r="P206" s="233"/>
      <c r="Q206" s="233"/>
      <c r="R206" s="233"/>
      <c r="S206" s="233"/>
    </row>
    <row r="207" spans="1:19" s="58" customFormat="1" ht="18" customHeight="1" x14ac:dyDescent="0.45">
      <c r="A207" s="234"/>
      <c r="B207" s="234"/>
      <c r="C207" s="234"/>
      <c r="D207" s="234"/>
      <c r="E207" s="234"/>
      <c r="F207" s="234"/>
      <c r="G207" s="234"/>
      <c r="H207" s="235"/>
      <c r="I207" s="235"/>
      <c r="J207" s="235"/>
      <c r="K207" s="235"/>
      <c r="L207" s="235"/>
      <c r="M207" s="233"/>
      <c r="N207" s="233"/>
      <c r="O207" s="233"/>
      <c r="P207" s="233"/>
      <c r="Q207" s="233"/>
      <c r="R207" s="233"/>
      <c r="S207" s="233"/>
    </row>
    <row r="208" spans="1:19" s="58" customFormat="1" ht="18" customHeight="1" x14ac:dyDescent="0.45">
      <c r="A208" s="234"/>
      <c r="B208" s="234"/>
      <c r="C208" s="234"/>
      <c r="D208" s="234"/>
      <c r="E208" s="234"/>
      <c r="F208" s="234"/>
      <c r="G208" s="234"/>
      <c r="H208" s="235"/>
      <c r="I208" s="235"/>
      <c r="J208" s="235"/>
      <c r="K208" s="235"/>
      <c r="L208" s="235"/>
      <c r="M208" s="233"/>
      <c r="N208" s="233"/>
      <c r="O208" s="233"/>
      <c r="P208" s="233"/>
      <c r="Q208" s="233"/>
      <c r="R208" s="233"/>
      <c r="S208" s="233"/>
    </row>
    <row r="209" spans="1:19" s="58" customFormat="1" ht="18" customHeight="1" x14ac:dyDescent="0.45">
      <c r="A209" s="234"/>
      <c r="B209" s="234"/>
      <c r="C209" s="234"/>
      <c r="D209" s="234"/>
      <c r="E209" s="234"/>
      <c r="F209" s="234"/>
      <c r="G209" s="234"/>
      <c r="H209" s="235"/>
      <c r="I209" s="235"/>
      <c r="J209" s="235"/>
      <c r="K209" s="235"/>
      <c r="L209" s="235"/>
      <c r="M209" s="233"/>
      <c r="N209" s="233"/>
      <c r="O209" s="233"/>
      <c r="P209" s="233"/>
      <c r="Q209" s="233"/>
      <c r="R209" s="233"/>
      <c r="S209" s="233"/>
    </row>
    <row r="210" spans="1:19" s="58" customFormat="1" ht="18" customHeight="1" x14ac:dyDescent="0.45">
      <c r="A210" s="233"/>
      <c r="B210" s="233"/>
      <c r="C210" s="233"/>
      <c r="D210" s="233"/>
      <c r="E210" s="233"/>
      <c r="F210" s="233"/>
      <c r="G210" s="233"/>
      <c r="H210" s="235"/>
      <c r="I210" s="235"/>
      <c r="J210" s="235"/>
      <c r="K210" s="235"/>
      <c r="L210" s="235"/>
      <c r="M210" s="233"/>
      <c r="N210" s="233"/>
      <c r="O210" s="233"/>
      <c r="P210" s="233"/>
      <c r="Q210" s="233"/>
      <c r="R210" s="233"/>
      <c r="S210" s="233"/>
    </row>
    <row r="211" spans="1:19" s="58" customFormat="1" ht="18" customHeight="1" x14ac:dyDescent="0.45">
      <c r="A211" s="233"/>
      <c r="B211" s="233"/>
      <c r="C211" s="233"/>
      <c r="D211" s="233"/>
      <c r="E211" s="233"/>
      <c r="F211" s="233"/>
      <c r="G211" s="233"/>
      <c r="H211" s="235"/>
      <c r="I211" s="235"/>
      <c r="J211" s="235"/>
      <c r="K211" s="235"/>
      <c r="L211" s="235"/>
      <c r="M211" s="233"/>
      <c r="N211" s="233"/>
      <c r="O211" s="233"/>
      <c r="P211" s="233"/>
      <c r="Q211" s="233"/>
      <c r="R211" s="233"/>
      <c r="S211" s="233"/>
    </row>
    <row r="212" spans="1:19" s="58" customFormat="1" ht="18" customHeight="1" x14ac:dyDescent="0.45">
      <c r="A212" s="233"/>
      <c r="B212" s="233"/>
      <c r="C212" s="233"/>
      <c r="D212" s="233"/>
      <c r="E212" s="233"/>
      <c r="F212" s="233"/>
      <c r="G212" s="233"/>
      <c r="H212" s="235"/>
      <c r="I212" s="235"/>
      <c r="J212" s="235"/>
      <c r="K212" s="235"/>
      <c r="L212" s="235"/>
      <c r="M212" s="233"/>
      <c r="N212" s="233"/>
      <c r="O212" s="233"/>
      <c r="P212" s="233"/>
      <c r="Q212" s="233"/>
      <c r="R212" s="233"/>
      <c r="S212" s="233"/>
    </row>
    <row r="213" spans="1:19" s="58" customFormat="1" ht="18" customHeight="1" x14ac:dyDescent="0.45">
      <c r="A213" s="233"/>
      <c r="B213" s="233"/>
      <c r="C213" s="233"/>
      <c r="D213" s="233"/>
      <c r="E213" s="233"/>
      <c r="F213" s="233"/>
      <c r="G213" s="233"/>
      <c r="H213" s="235"/>
      <c r="I213" s="235"/>
      <c r="J213" s="235"/>
      <c r="K213" s="235"/>
      <c r="L213" s="235"/>
      <c r="M213" s="233"/>
      <c r="N213" s="233"/>
      <c r="O213" s="233"/>
      <c r="P213" s="233"/>
      <c r="Q213" s="233"/>
      <c r="R213" s="233"/>
      <c r="S213" s="233"/>
    </row>
    <row r="214" spans="1:19" s="58" customFormat="1" ht="18" customHeight="1" x14ac:dyDescent="0.45">
      <c r="A214" s="233"/>
      <c r="B214" s="233"/>
      <c r="C214" s="233"/>
      <c r="D214" s="233"/>
      <c r="E214" s="233"/>
      <c r="F214" s="233"/>
      <c r="G214" s="233"/>
      <c r="H214" s="235"/>
      <c r="I214" s="235"/>
      <c r="J214" s="235"/>
      <c r="K214" s="235"/>
      <c r="L214" s="235"/>
      <c r="M214" s="233"/>
      <c r="N214" s="233"/>
      <c r="O214" s="233"/>
      <c r="P214" s="233"/>
      <c r="Q214" s="233"/>
      <c r="R214" s="233"/>
      <c r="S214" s="233"/>
    </row>
    <row r="215" spans="1:19" s="58" customFormat="1" ht="18" customHeight="1" x14ac:dyDescent="0.45">
      <c r="A215" s="233"/>
      <c r="B215" s="233"/>
      <c r="C215" s="233"/>
      <c r="D215" s="233"/>
      <c r="E215" s="233"/>
      <c r="F215" s="233"/>
      <c r="G215" s="233"/>
      <c r="H215" s="235"/>
      <c r="I215" s="235"/>
      <c r="J215" s="235"/>
      <c r="K215" s="235"/>
      <c r="L215" s="235"/>
      <c r="M215" s="233"/>
      <c r="N215" s="233"/>
      <c r="O215" s="233"/>
      <c r="P215" s="233"/>
      <c r="Q215" s="233"/>
      <c r="R215" s="233"/>
      <c r="S215" s="233"/>
    </row>
    <row r="216" spans="1:19" s="58" customFormat="1" ht="18" customHeight="1" x14ac:dyDescent="0.45">
      <c r="A216" s="233"/>
      <c r="B216" s="233"/>
      <c r="C216" s="233"/>
      <c r="D216" s="233"/>
      <c r="E216" s="233"/>
      <c r="F216" s="233"/>
      <c r="G216" s="233"/>
      <c r="H216" s="235"/>
      <c r="I216" s="235"/>
      <c r="J216" s="235"/>
      <c r="K216" s="235"/>
      <c r="L216" s="235"/>
      <c r="M216" s="233"/>
      <c r="N216" s="233"/>
      <c r="O216" s="233"/>
      <c r="P216" s="233"/>
      <c r="Q216" s="233"/>
      <c r="R216" s="233"/>
      <c r="S216" s="233"/>
    </row>
    <row r="217" spans="1:19" s="58" customFormat="1" ht="18" customHeight="1" x14ac:dyDescent="0.45">
      <c r="A217" s="233"/>
      <c r="B217" s="233"/>
      <c r="C217" s="233"/>
      <c r="D217" s="233"/>
      <c r="E217" s="233"/>
      <c r="F217" s="233"/>
      <c r="G217" s="233"/>
      <c r="H217" s="235"/>
      <c r="I217" s="235"/>
      <c r="J217" s="235"/>
      <c r="K217" s="235"/>
      <c r="L217" s="235"/>
      <c r="M217" s="233"/>
      <c r="N217" s="233"/>
      <c r="O217" s="233"/>
      <c r="P217" s="233"/>
      <c r="Q217" s="233"/>
      <c r="R217" s="233"/>
      <c r="S217" s="233"/>
    </row>
    <row r="218" spans="1:19" s="58" customFormat="1" ht="18" customHeight="1" x14ac:dyDescent="0.45">
      <c r="A218" s="233"/>
      <c r="B218" s="233"/>
      <c r="C218" s="233"/>
      <c r="D218" s="233"/>
      <c r="E218" s="233"/>
      <c r="F218" s="233"/>
      <c r="G218" s="233"/>
      <c r="H218" s="235"/>
      <c r="I218" s="235"/>
      <c r="J218" s="235"/>
      <c r="K218" s="235"/>
      <c r="L218" s="235"/>
      <c r="M218" s="233"/>
      <c r="N218" s="233"/>
      <c r="O218" s="233"/>
      <c r="P218" s="233"/>
      <c r="Q218" s="233"/>
      <c r="R218" s="233"/>
      <c r="S218" s="233"/>
    </row>
    <row r="219" spans="1:19" s="58" customFormat="1" ht="18" customHeight="1" x14ac:dyDescent="0.45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</row>
    <row r="220" spans="1:19" s="58" customFormat="1" ht="18" customHeight="1" x14ac:dyDescent="0.45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</row>
    <row r="221" spans="1:19" s="58" customFormat="1" ht="18" customHeight="1" x14ac:dyDescent="0.45"/>
    <row r="222" spans="1:19" s="58" customFormat="1" ht="18" customHeight="1" x14ac:dyDescent="0.45"/>
    <row r="223" spans="1:19" s="58" customFormat="1" ht="18" customHeight="1" x14ac:dyDescent="0.45"/>
    <row r="224" spans="1:19" s="58" customFormat="1" ht="18" customHeight="1" x14ac:dyDescent="0.45"/>
  </sheetData>
  <mergeCells count="8">
    <mergeCell ref="H182:H186"/>
    <mergeCell ref="J189:N189"/>
    <mergeCell ref="H191:H195"/>
    <mergeCell ref="F1:K1"/>
    <mergeCell ref="M1:Q1"/>
    <mergeCell ref="H171:N171"/>
    <mergeCell ref="H178:N178"/>
    <mergeCell ref="J180:N18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7"/>
  <sheetViews>
    <sheetView showGridLines="0" tabSelected="1" topLeftCell="A49" zoomScale="77" zoomScaleNormal="100" workbookViewId="0">
      <selection activeCell="E9" sqref="E9:K9"/>
    </sheetView>
  </sheetViews>
  <sheetFormatPr defaultColWidth="8.6328125" defaultRowHeight="14.5" x14ac:dyDescent="0.35"/>
  <cols>
    <col min="1" max="1" width="32" customWidth="1"/>
    <col min="2" max="2" width="7.90625" bestFit="1" customWidth="1"/>
    <col min="3" max="3" width="8" customWidth="1"/>
    <col min="4" max="11" width="15" customWidth="1"/>
  </cols>
  <sheetData>
    <row r="1" spans="1:11" ht="15.75" customHeight="1" x14ac:dyDescent="0.35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" customHeight="1" x14ac:dyDescent="0.35">
      <c r="A2" s="7" t="s">
        <v>251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15" customHeight="1" x14ac:dyDescent="0.35">
      <c r="A4" s="6" t="s">
        <v>252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 customHeight="1" x14ac:dyDescent="0.35">
      <c r="A5" s="5" t="s">
        <v>253</v>
      </c>
      <c r="B5" s="5"/>
      <c r="C5" s="5"/>
      <c r="D5" s="84" t="s">
        <v>91</v>
      </c>
      <c r="E5" s="85">
        <f>IF(D5="Base Case",1,IF(D5="Bull Case",2,3))</f>
        <v>1</v>
      </c>
      <c r="F5" s="4" t="str">
        <f>IF(D5="Base Case","Rev CAGR ~8% | Base ops",IF(D5="Bull Case","Rev CAGR ~23% | Nuclear ramp + peak cycle","Rev CAGR ~6.4% | Muted cycle"))</f>
        <v>Rev CAGR ~8% | Base ops</v>
      </c>
      <c r="G5" s="4"/>
      <c r="H5" s="4"/>
      <c r="I5" s="4"/>
      <c r="J5" s="4"/>
      <c r="K5" s="4"/>
    </row>
    <row r="6" spans="1:11" ht="15" customHeight="1" x14ac:dyDescent="0.35">
      <c r="A6" s="3" t="s">
        <v>254</v>
      </c>
      <c r="B6" s="3"/>
      <c r="C6" s="3"/>
      <c r="G6" s="87">
        <f>CHOOSE(E5,Scenario!F5,Scenario!F6,Scenario!F7)</f>
        <v>0.08</v>
      </c>
      <c r="H6" s="87">
        <f>CHOOSE(E5,Scenario!G5,Scenario!G6,Scenario!G7)</f>
        <v>6.8000000000000005E-2</v>
      </c>
      <c r="I6" s="87">
        <f>CHOOSE(E5,Scenario!H5,Scenario!H6,Scenario!H7)</f>
        <v>5.7800000000000004E-2</v>
      </c>
      <c r="J6" s="87">
        <f>CHOOSE(E5,Scenario!I5,Scenario!I6,Scenario!I7)</f>
        <v>4.913E-2</v>
      </c>
      <c r="K6" s="87">
        <f>CHOOSE(E5,Scenario!J5,Scenario!J6,Scenario!J7)</f>
        <v>4.1760499999999999E-2</v>
      </c>
    </row>
    <row r="8" spans="1:11" ht="15" customHeight="1" x14ac:dyDescent="0.35">
      <c r="A8" s="6" t="s">
        <v>255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5" customHeight="1" x14ac:dyDescent="0.35">
      <c r="A9" s="3" t="s">
        <v>256</v>
      </c>
      <c r="B9" s="3"/>
      <c r="C9" s="3"/>
      <c r="D9" s="86" t="s">
        <v>257</v>
      </c>
      <c r="E9" s="3" t="s">
        <v>258</v>
      </c>
      <c r="F9" s="3"/>
      <c r="G9" s="3"/>
      <c r="H9" s="3"/>
      <c r="I9" s="3"/>
      <c r="J9" s="3"/>
      <c r="K9" s="3"/>
    </row>
    <row r="10" spans="1:11" ht="15" customHeight="1" x14ac:dyDescent="0.35">
      <c r="A10" s="2" t="s">
        <v>259</v>
      </c>
      <c r="B10" s="2"/>
      <c r="C10" s="2"/>
      <c r="D10" s="88">
        <v>0.1163</v>
      </c>
      <c r="E10" s="1" t="s">
        <v>260</v>
      </c>
      <c r="F10" s="1"/>
      <c r="G10" s="1"/>
      <c r="H10" s="1"/>
      <c r="I10" s="1"/>
      <c r="J10" s="1"/>
      <c r="K10" s="1"/>
    </row>
    <row r="11" spans="1:11" ht="15" customHeight="1" x14ac:dyDescent="0.35">
      <c r="A11" s="213" t="s">
        <v>244</v>
      </c>
      <c r="B11" s="213"/>
      <c r="C11" s="213"/>
      <c r="D11" s="90">
        <v>0.25</v>
      </c>
      <c r="E11" s="1" t="s">
        <v>261</v>
      </c>
      <c r="F11" s="1"/>
      <c r="G11" s="1"/>
      <c r="H11" s="1"/>
      <c r="I11" s="1"/>
      <c r="J11" s="1"/>
      <c r="K11" s="1"/>
    </row>
    <row r="12" spans="1:11" ht="15" customHeight="1" x14ac:dyDescent="0.35">
      <c r="A12" s="2" t="s">
        <v>262</v>
      </c>
      <c r="B12" s="2"/>
      <c r="C12" s="2"/>
      <c r="D12" s="91">
        <v>15</v>
      </c>
      <c r="E12" s="1" t="s">
        <v>263</v>
      </c>
      <c r="F12" s="1"/>
      <c r="G12" s="1"/>
      <c r="H12" s="1"/>
      <c r="I12" s="1"/>
      <c r="J12" s="1"/>
      <c r="K12" s="1"/>
    </row>
    <row r="13" spans="1:11" ht="15" customHeight="1" x14ac:dyDescent="0.35">
      <c r="A13" s="2" t="s">
        <v>264</v>
      </c>
      <c r="B13" s="2"/>
      <c r="C13" s="2"/>
      <c r="D13" s="88">
        <v>0.04</v>
      </c>
      <c r="E13" s="1" t="s">
        <v>265</v>
      </c>
      <c r="F13" s="1"/>
      <c r="G13" s="1"/>
      <c r="H13" s="1"/>
      <c r="I13" s="1"/>
      <c r="J13" s="1"/>
      <c r="K13" s="1"/>
    </row>
    <row r="14" spans="1:11" ht="15" customHeight="1" x14ac:dyDescent="0.35">
      <c r="A14" s="214" t="s">
        <v>266</v>
      </c>
      <c r="B14" s="214"/>
      <c r="C14" s="214"/>
      <c r="D14" s="92">
        <v>17.399999999999999</v>
      </c>
      <c r="E14" s="1" t="s">
        <v>267</v>
      </c>
      <c r="F14" s="1"/>
      <c r="G14" s="1"/>
      <c r="H14" s="1"/>
      <c r="I14" s="1"/>
      <c r="J14" s="1"/>
      <c r="K14" s="1"/>
    </row>
    <row r="15" spans="1:11" ht="15" customHeight="1" x14ac:dyDescent="0.35">
      <c r="A15" s="213" t="s">
        <v>268</v>
      </c>
      <c r="B15" s="213"/>
      <c r="C15" s="213"/>
      <c r="D15" s="93">
        <v>18298</v>
      </c>
      <c r="E15" s="1" t="s">
        <v>269</v>
      </c>
      <c r="F15" s="1"/>
      <c r="G15" s="1"/>
      <c r="H15" s="1"/>
      <c r="I15" s="1"/>
      <c r="J15" s="1"/>
      <c r="K15" s="1"/>
    </row>
    <row r="16" spans="1:11" ht="15" customHeight="1" x14ac:dyDescent="0.35">
      <c r="A16" s="214" t="s">
        <v>270</v>
      </c>
      <c r="B16" s="214"/>
      <c r="C16" s="214"/>
      <c r="D16" s="94">
        <v>972</v>
      </c>
      <c r="E16" s="1" t="s">
        <v>271</v>
      </c>
      <c r="F16" s="1"/>
      <c r="G16" s="1"/>
      <c r="H16" s="1"/>
      <c r="I16" s="1"/>
      <c r="J16" s="1"/>
      <c r="K16" s="1"/>
    </row>
    <row r="18" spans="1:11" ht="15" customHeight="1" x14ac:dyDescent="0.35">
      <c r="A18" s="6" t="s">
        <v>272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8" customHeight="1" x14ac:dyDescent="0.35">
      <c r="A19" s="3" t="s">
        <v>273</v>
      </c>
      <c r="B19" s="3"/>
      <c r="C19" s="86" t="s">
        <v>149</v>
      </c>
      <c r="D19" s="95" t="s">
        <v>274</v>
      </c>
      <c r="E19" s="83" t="s">
        <v>275</v>
      </c>
      <c r="F19" s="83" t="s">
        <v>276</v>
      </c>
      <c r="G19" s="83" t="s">
        <v>277</v>
      </c>
      <c r="H19" s="83" t="s">
        <v>278</v>
      </c>
      <c r="I19" s="83" t="s">
        <v>279</v>
      </c>
    </row>
    <row r="20" spans="1:11" ht="15" customHeight="1" x14ac:dyDescent="0.35">
      <c r="A20" s="215" t="s">
        <v>168</v>
      </c>
      <c r="B20" s="215"/>
      <c r="C20" s="96" t="s">
        <v>280</v>
      </c>
      <c r="D20" s="97">
        <f>Model!L25</f>
        <v>26957</v>
      </c>
      <c r="E20" s="97">
        <f>D20*(1+G6)</f>
        <v>29113.56</v>
      </c>
      <c r="F20" s="97">
        <f>E20*(1+H6)</f>
        <v>31093.282080000004</v>
      </c>
      <c r="G20" s="97">
        <f>F20*(1+I6)</f>
        <v>32890.473784224007</v>
      </c>
      <c r="H20" s="97">
        <f>G20*(1+J6)</f>
        <v>34506.38276124293</v>
      </c>
      <c r="I20" s="97">
        <f>H20*(1+K6)</f>
        <v>35947.386558543818</v>
      </c>
    </row>
    <row r="21" spans="1:11" ht="15" customHeight="1" x14ac:dyDescent="0.35">
      <c r="A21" s="213" t="s">
        <v>281</v>
      </c>
      <c r="B21" s="213"/>
      <c r="C21" s="286" t="s">
        <v>151</v>
      </c>
      <c r="D21" s="287" t="s">
        <v>282</v>
      </c>
      <c r="E21" s="98">
        <f>E20/D20-1</f>
        <v>8.0000000000000071E-2</v>
      </c>
      <c r="F21" s="98">
        <f>F20/E20-1</f>
        <v>6.800000000000006E-2</v>
      </c>
      <c r="G21" s="98">
        <f>G20/F20-1</f>
        <v>5.7800000000000074E-2</v>
      </c>
      <c r="H21" s="98">
        <f>H20/G20-1</f>
        <v>4.9129999999999896E-2</v>
      </c>
      <c r="I21" s="98">
        <f>I20/H20-1</f>
        <v>4.1760500000000089E-2</v>
      </c>
      <c r="J21" s="288"/>
    </row>
    <row r="22" spans="1:11" ht="15" customHeight="1" x14ac:dyDescent="0.35">
      <c r="A22" s="289" t="s">
        <v>283</v>
      </c>
      <c r="B22" s="289"/>
      <c r="C22" s="286" t="s">
        <v>280</v>
      </c>
      <c r="D22" s="290">
        <f>Model!L26</f>
        <v>-14563</v>
      </c>
      <c r="E22" s="290">
        <f>-E20*Model!L9</f>
        <v>-15728.040000000003</v>
      </c>
      <c r="F22" s="290">
        <f>-F20*Model!L9</f>
        <v>-16797.546720000006</v>
      </c>
      <c r="G22" s="290">
        <f>-G20*Model!L9</f>
        <v>-17768.444920416005</v>
      </c>
      <c r="H22" s="290">
        <f>-H20*Model!L9</f>
        <v>-18641.408619356043</v>
      </c>
      <c r="I22" s="290">
        <f>-I20*Model!L9</f>
        <v>-19419.883164004663</v>
      </c>
      <c r="J22" s="288"/>
    </row>
    <row r="23" spans="1:11" ht="15" customHeight="1" x14ac:dyDescent="0.35">
      <c r="A23" s="213" t="s">
        <v>284</v>
      </c>
      <c r="B23" s="213"/>
      <c r="C23" s="286" t="s">
        <v>280</v>
      </c>
      <c r="D23" s="100">
        <f>Model!L29</f>
        <v>-3643</v>
      </c>
      <c r="E23" s="100">
        <f>-E20*Model!L10</f>
        <v>-3934.4400000000005</v>
      </c>
      <c r="F23" s="100">
        <f>-F20*Model!L10</f>
        <v>-4201.9819200000011</v>
      </c>
      <c r="G23" s="100">
        <f>-G20*Model!L10</f>
        <v>-4444.8564749760017</v>
      </c>
      <c r="H23" s="100">
        <f>-H20*Model!L10</f>
        <v>-4663.2322735915723</v>
      </c>
      <c r="I23" s="100">
        <f>-I20*Model!L10</f>
        <v>-4857.9711849528931</v>
      </c>
      <c r="J23" s="288"/>
    </row>
    <row r="24" spans="1:11" ht="15" customHeight="1" x14ac:dyDescent="0.35">
      <c r="A24" s="289" t="s">
        <v>285</v>
      </c>
      <c r="B24" s="289"/>
      <c r="C24" s="286" t="s">
        <v>280</v>
      </c>
      <c r="D24" s="290">
        <f>Model!L30</f>
        <v>-5016</v>
      </c>
      <c r="E24" s="290">
        <f>-E20*Model!L11</f>
        <v>-5417.28</v>
      </c>
      <c r="F24" s="290">
        <f>-F20*Model!L11</f>
        <v>-5785.6550400000006</v>
      </c>
      <c r="G24" s="290">
        <f>-G20*Model!L11</f>
        <v>-6120.0659013120012</v>
      </c>
      <c r="H24" s="290">
        <f>-H20*Model!L11</f>
        <v>-6420.744739043459</v>
      </c>
      <c r="I24" s="290">
        <f>-I20*Model!L11</f>
        <v>-6688.8782497182838</v>
      </c>
      <c r="J24" s="288"/>
    </row>
    <row r="25" spans="1:11" ht="15" customHeight="1" x14ac:dyDescent="0.35">
      <c r="A25" s="215" t="s">
        <v>174</v>
      </c>
      <c r="B25" s="215"/>
      <c r="C25" s="96" t="s">
        <v>280</v>
      </c>
      <c r="D25" s="97">
        <f>D20+D22+D23+D24</f>
        <v>3735</v>
      </c>
      <c r="E25" s="97">
        <f>D20+D22+D23+D24</f>
        <v>3735</v>
      </c>
      <c r="F25" s="97">
        <f>E20+E22+E23+E24</f>
        <v>4033.7999999999984</v>
      </c>
      <c r="G25" s="97">
        <f>F20+F22+F23+F24</f>
        <v>4308.0983999999962</v>
      </c>
      <c r="H25" s="97">
        <f>G20+G22+G23+G24</f>
        <v>4557.10648752</v>
      </c>
      <c r="I25" s="97">
        <f>H20+H22+H23+H24</f>
        <v>4780.9971292518549</v>
      </c>
    </row>
    <row r="26" spans="1:11" ht="15" customHeight="1" x14ac:dyDescent="0.35">
      <c r="A26" s="289" t="s">
        <v>286</v>
      </c>
      <c r="B26" s="289"/>
      <c r="C26" s="286" t="s">
        <v>151</v>
      </c>
      <c r="D26" s="291">
        <f t="shared" ref="D26:I26" si="0">D25/D20</f>
        <v>0.13855399339689134</v>
      </c>
      <c r="E26" s="291">
        <f t="shared" si="0"/>
        <v>0.12829073462675125</v>
      </c>
      <c r="F26" s="291">
        <f t="shared" si="0"/>
        <v>0.12973220355514165</v>
      </c>
      <c r="G26" s="291">
        <f t="shared" si="0"/>
        <v>0.13098316638012025</v>
      </c>
      <c r="H26" s="291">
        <f t="shared" si="0"/>
        <v>0.1320656099786407</v>
      </c>
      <c r="I26" s="291">
        <f t="shared" si="0"/>
        <v>0.13299985303425427</v>
      </c>
      <c r="J26" s="288"/>
    </row>
    <row r="27" spans="1:11" ht="15" customHeight="1" x14ac:dyDescent="0.35">
      <c r="A27" s="213" t="s">
        <v>287</v>
      </c>
      <c r="B27" s="213"/>
      <c r="C27" s="286" t="s">
        <v>280</v>
      </c>
      <c r="D27" s="100">
        <f>Model!L32</f>
        <v>-583</v>
      </c>
      <c r="E27" s="100">
        <f>-D20*Model!L12</f>
        <v>-3187.0398685918235</v>
      </c>
      <c r="F27" s="100">
        <f>-E20*Model!L12</f>
        <v>-3442.0030580791699</v>
      </c>
      <c r="G27" s="100">
        <f>-F20*Model!L12</f>
        <v>-3676.0592660285538</v>
      </c>
      <c r="H27" s="100">
        <f>-G20*Model!L12</f>
        <v>-3888.5354916050042</v>
      </c>
      <c r="I27" s="100">
        <f>-H20*Model!L12</f>
        <v>-4079.5792403075579</v>
      </c>
      <c r="J27" s="288"/>
    </row>
    <row r="28" spans="1:11" ht="15" customHeight="1" x14ac:dyDescent="0.35">
      <c r="A28" s="215" t="s">
        <v>176</v>
      </c>
      <c r="B28" s="215"/>
      <c r="C28" s="96" t="s">
        <v>280</v>
      </c>
      <c r="D28" s="97">
        <f>D25+D27</f>
        <v>3152</v>
      </c>
      <c r="E28" s="97">
        <f>D25+D27</f>
        <v>3152</v>
      </c>
      <c r="F28" s="97">
        <f>E25+E27</f>
        <v>547.96013140817649</v>
      </c>
      <c r="G28" s="97">
        <f>F25+F27</f>
        <v>591.79694192082843</v>
      </c>
      <c r="H28" s="97">
        <f>G25+G27</f>
        <v>632.03913397144242</v>
      </c>
      <c r="I28" s="97">
        <f>H25+H27</f>
        <v>668.57099591499582</v>
      </c>
    </row>
    <row r="29" spans="1:11" ht="15" customHeight="1" x14ac:dyDescent="0.35">
      <c r="A29" s="213" t="s">
        <v>288</v>
      </c>
      <c r="B29" s="213"/>
      <c r="C29" s="286" t="s">
        <v>151</v>
      </c>
      <c r="D29" s="98">
        <f t="shared" ref="D29:I29" si="1">D28/D20</f>
        <v>0.11692695774752383</v>
      </c>
      <c r="E29" s="98">
        <f t="shared" si="1"/>
        <v>0.10826570161807762</v>
      </c>
      <c r="F29" s="98">
        <f t="shared" si="1"/>
        <v>1.7623103601553804E-2</v>
      </c>
      <c r="G29" s="98">
        <f t="shared" si="1"/>
        <v>1.7992958867156399E-2</v>
      </c>
      <c r="H29" s="98">
        <f t="shared" si="1"/>
        <v>1.831658619057978E-2</v>
      </c>
      <c r="I29" s="98">
        <f t="shared" si="1"/>
        <v>1.8598598115781319E-2</v>
      </c>
      <c r="J29" s="288"/>
    </row>
    <row r="30" spans="1:11" ht="15" customHeight="1" x14ac:dyDescent="0.35">
      <c r="A30" s="289" t="s">
        <v>177</v>
      </c>
      <c r="B30" s="289"/>
      <c r="C30" s="286" t="s">
        <v>280</v>
      </c>
      <c r="D30" s="290">
        <f>Model!L34</f>
        <v>-30</v>
      </c>
      <c r="E30" s="290">
        <f>Model!L34</f>
        <v>-30</v>
      </c>
      <c r="F30" s="290">
        <f>Model!M34</f>
        <v>-2.9400000000000004</v>
      </c>
      <c r="G30" s="290">
        <f>Model!N34</f>
        <v>-2.9400000000000004</v>
      </c>
      <c r="H30" s="290">
        <f>Model!O34</f>
        <v>-2.9400000000000004</v>
      </c>
      <c r="I30" s="290">
        <f>Model!P34</f>
        <v>-2.9400000000000004</v>
      </c>
      <c r="J30" s="288"/>
    </row>
    <row r="31" spans="1:11" ht="15" customHeight="1" x14ac:dyDescent="0.35">
      <c r="A31" s="213" t="s">
        <v>289</v>
      </c>
      <c r="B31" s="213"/>
      <c r="C31" s="286" t="s">
        <v>280</v>
      </c>
      <c r="D31" s="100">
        <f>Model!L35</f>
        <v>337</v>
      </c>
      <c r="E31" s="100">
        <f>E20*Model!L14</f>
        <v>363.96</v>
      </c>
      <c r="F31" s="100">
        <f>F20*Model!L14</f>
        <v>388.70928000000004</v>
      </c>
      <c r="G31" s="100">
        <f>G20*Model!L14</f>
        <v>411.17667638400007</v>
      </c>
      <c r="H31" s="100">
        <f>H20*Model!L14</f>
        <v>431.37778649474598</v>
      </c>
      <c r="I31" s="100">
        <f>I20*Model!L14</f>
        <v>449.39233854765985</v>
      </c>
      <c r="J31" s="288"/>
    </row>
    <row r="32" spans="1:11" ht="15" customHeight="1" x14ac:dyDescent="0.35">
      <c r="A32" s="292" t="s">
        <v>290</v>
      </c>
      <c r="B32" s="292"/>
      <c r="C32" s="286" t="s">
        <v>280</v>
      </c>
      <c r="D32" s="290">
        <f>D28+D30+D31</f>
        <v>3459</v>
      </c>
      <c r="E32" s="293">
        <f>D28+D30+D31</f>
        <v>3459</v>
      </c>
      <c r="F32" s="293">
        <f>E28+E30+E31</f>
        <v>3485.96</v>
      </c>
      <c r="G32" s="293">
        <f>F28+F30+F31</f>
        <v>933.72941140817647</v>
      </c>
      <c r="H32" s="293">
        <f>G28+G30+G31</f>
        <v>1000.0336183048285</v>
      </c>
      <c r="I32" s="293">
        <f>H28+H30+H31</f>
        <v>1060.4769204661884</v>
      </c>
      <c r="J32" s="288"/>
    </row>
    <row r="33" spans="1:11" ht="15" customHeight="1" x14ac:dyDescent="0.35">
      <c r="A33" s="213" t="s">
        <v>291</v>
      </c>
      <c r="B33" s="213"/>
      <c r="C33" s="286" t="s">
        <v>280</v>
      </c>
      <c r="D33" s="100">
        <f>Model!L37</f>
        <v>-900</v>
      </c>
      <c r="E33" s="100">
        <f>-E32*D11</f>
        <v>-864.75</v>
      </c>
      <c r="F33" s="100">
        <f>-F32*D11</f>
        <v>-871.49</v>
      </c>
      <c r="G33" s="100">
        <f>-G32*D11</f>
        <v>-233.43235285204412</v>
      </c>
      <c r="H33" s="100">
        <f>-H32*D11</f>
        <v>-250.00840457620711</v>
      </c>
      <c r="I33" s="100">
        <f>-I32*D11</f>
        <v>-265.1192301165471</v>
      </c>
      <c r="J33" s="288"/>
    </row>
    <row r="34" spans="1:11" ht="15" customHeight="1" x14ac:dyDescent="0.35">
      <c r="A34" s="215" t="s">
        <v>292</v>
      </c>
      <c r="B34" s="215"/>
      <c r="C34" s="96" t="s">
        <v>280</v>
      </c>
      <c r="D34" s="97">
        <f>D32+D33</f>
        <v>2559</v>
      </c>
      <c r="E34" s="97">
        <f>D32+D33</f>
        <v>2559</v>
      </c>
      <c r="F34" s="97">
        <f>E32+E33</f>
        <v>2594.25</v>
      </c>
      <c r="G34" s="97">
        <f>F32+F33</f>
        <v>2614.4700000000003</v>
      </c>
      <c r="H34" s="97">
        <f>G32+G33</f>
        <v>700.29705855613236</v>
      </c>
      <c r="I34" s="97">
        <f>H32+H33</f>
        <v>750.02521372862134</v>
      </c>
    </row>
    <row r="35" spans="1:11" ht="15" customHeight="1" x14ac:dyDescent="0.35">
      <c r="A35" s="213" t="s">
        <v>293</v>
      </c>
      <c r="B35" s="213"/>
      <c r="C35" s="286" t="s">
        <v>151</v>
      </c>
      <c r="D35" s="98">
        <f t="shared" ref="D35:I35" si="2">D34/D20</f>
        <v>9.4928960937789811E-2</v>
      </c>
      <c r="E35" s="98">
        <f t="shared" si="2"/>
        <v>8.7897186053509088E-2</v>
      </c>
      <c r="F35" s="98">
        <f t="shared" si="2"/>
        <v>8.343442140733956E-2</v>
      </c>
      <c r="G35" s="98">
        <f t="shared" si="2"/>
        <v>7.9490189686900678E-2</v>
      </c>
      <c r="H35" s="98">
        <f t="shared" si="2"/>
        <v>2.0294710790222145E-2</v>
      </c>
      <c r="I35" s="98">
        <f t="shared" si="2"/>
        <v>2.0864526897028585E-2</v>
      </c>
      <c r="J35" s="288"/>
    </row>
    <row r="36" spans="1:11" ht="15" customHeight="1" x14ac:dyDescent="0.35">
      <c r="A36" s="292" t="s">
        <v>294</v>
      </c>
      <c r="B36" s="292"/>
      <c r="C36" s="286" t="s">
        <v>280</v>
      </c>
      <c r="D36" s="294">
        <f>D34/(D14*10)</f>
        <v>14.706896551724139</v>
      </c>
      <c r="E36" s="295">
        <f>D34/(D14*10)</f>
        <v>14.706896551724139</v>
      </c>
      <c r="F36" s="295">
        <f>E34/(D14*10)</f>
        <v>14.706896551724139</v>
      </c>
      <c r="G36" s="295">
        <f>F34/(D14*10)</f>
        <v>14.90948275862069</v>
      </c>
      <c r="H36" s="295">
        <f>G34/(D14*10)</f>
        <v>15.025689655172416</v>
      </c>
      <c r="I36" s="295">
        <f>H34/(D14*10)</f>
        <v>4.0246957388283473</v>
      </c>
      <c r="J36" s="288"/>
    </row>
    <row r="38" spans="1:11" ht="15" customHeight="1" x14ac:dyDescent="0.35">
      <c r="A38" s="6" t="s">
        <v>295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8" customHeight="1" x14ac:dyDescent="0.35">
      <c r="A39" s="3" t="s">
        <v>273</v>
      </c>
      <c r="B39" s="3"/>
      <c r="C39" s="86" t="s">
        <v>149</v>
      </c>
      <c r="D39" s="83" t="s">
        <v>275</v>
      </c>
      <c r="E39" s="83" t="s">
        <v>276</v>
      </c>
      <c r="F39" s="83" t="s">
        <v>277</v>
      </c>
      <c r="G39" s="83" t="s">
        <v>278</v>
      </c>
      <c r="H39" s="83" t="s">
        <v>279</v>
      </c>
    </row>
    <row r="40" spans="1:11" ht="15" customHeight="1" x14ac:dyDescent="0.35">
      <c r="A40" s="292" t="s">
        <v>176</v>
      </c>
      <c r="B40" s="292"/>
      <c r="C40" s="286" t="s">
        <v>280</v>
      </c>
      <c r="D40" s="296">
        <f>E28</f>
        <v>3152</v>
      </c>
      <c r="E40" s="293">
        <f>F28</f>
        <v>547.96013140817649</v>
      </c>
      <c r="F40" s="293">
        <f>G28</f>
        <v>591.79694192082843</v>
      </c>
      <c r="G40" s="293">
        <f>H28</f>
        <v>632.03913397144242</v>
      </c>
      <c r="H40" s="293">
        <f>I28</f>
        <v>668.57099591499582</v>
      </c>
      <c r="I40" s="293">
        <f>H28</f>
        <v>632.03913397144242</v>
      </c>
      <c r="J40" s="288"/>
    </row>
    <row r="41" spans="1:11" ht="15" customHeight="1" x14ac:dyDescent="0.35">
      <c r="A41" s="213" t="s">
        <v>296</v>
      </c>
      <c r="B41" s="213"/>
      <c r="C41" s="286" t="s">
        <v>280</v>
      </c>
      <c r="D41" s="297">
        <f>-D40*D11</f>
        <v>-788</v>
      </c>
      <c r="E41" s="100">
        <f>-E40*D11</f>
        <v>-136.99003285204412</v>
      </c>
      <c r="F41" s="100">
        <f>-F40*D11</f>
        <v>-147.94923548020711</v>
      </c>
      <c r="G41" s="100">
        <f>-G40*D11</f>
        <v>-158.00978349286061</v>
      </c>
      <c r="H41" s="100">
        <f>-H40*D11</f>
        <v>-167.14274897874895</v>
      </c>
      <c r="I41" s="100">
        <f>-H40*D11</f>
        <v>-167.14274897874895</v>
      </c>
      <c r="J41" s="288"/>
    </row>
    <row r="42" spans="1:11" ht="15" customHeight="1" x14ac:dyDescent="0.35">
      <c r="A42" s="292" t="s">
        <v>297</v>
      </c>
      <c r="B42" s="292"/>
      <c r="C42" s="286" t="s">
        <v>280</v>
      </c>
      <c r="D42" s="296">
        <f>D40+D41</f>
        <v>2364</v>
      </c>
      <c r="E42" s="293">
        <f>E40+E41</f>
        <v>410.97009855613237</v>
      </c>
      <c r="F42" s="293">
        <f>F40+F41</f>
        <v>443.84770644062132</v>
      </c>
      <c r="G42" s="293">
        <f>G40+G41</f>
        <v>474.02935047858182</v>
      </c>
      <c r="H42" s="293">
        <f>H40+H41</f>
        <v>501.42824693624686</v>
      </c>
      <c r="I42" s="293">
        <f>H40+H41</f>
        <v>501.42824693624686</v>
      </c>
      <c r="J42" s="288"/>
    </row>
    <row r="43" spans="1:11" ht="15" customHeight="1" x14ac:dyDescent="0.35">
      <c r="A43" s="213" t="s">
        <v>298</v>
      </c>
      <c r="B43" s="213"/>
      <c r="C43" s="286" t="s">
        <v>280</v>
      </c>
      <c r="D43" s="297">
        <f>-E27</f>
        <v>3187.0398685918235</v>
      </c>
      <c r="E43" s="100">
        <f>-F27</f>
        <v>3442.0030580791699</v>
      </c>
      <c r="F43" s="100">
        <f>-G27</f>
        <v>3676.0592660285538</v>
      </c>
      <c r="G43" s="100">
        <f>-H27</f>
        <v>3888.5354916050042</v>
      </c>
      <c r="H43" s="100">
        <f>-I27</f>
        <v>4079.5792403075579</v>
      </c>
      <c r="I43" s="100">
        <f>-H27</f>
        <v>3888.5354916050042</v>
      </c>
      <c r="J43" s="288"/>
    </row>
    <row r="44" spans="1:11" ht="15" customHeight="1" x14ac:dyDescent="0.35">
      <c r="A44" s="289" t="s">
        <v>247</v>
      </c>
      <c r="B44" s="289"/>
      <c r="C44" s="286" t="s">
        <v>280</v>
      </c>
      <c r="D44" s="297">
        <f>Model!M121</f>
        <v>4959.1635889226654</v>
      </c>
      <c r="E44" s="290">
        <f>Model!N121</f>
        <v>4717.4258790643989</v>
      </c>
      <c r="F44" s="290">
        <f>Model!O121</f>
        <v>4469.7103631363252</v>
      </c>
      <c r="G44" s="290">
        <f>Model!P121</f>
        <v>4217.2765321407987</v>
      </c>
      <c r="H44" s="290">
        <f>Model!Q121</f>
        <v>3962.1904359898244</v>
      </c>
      <c r="I44" s="290">
        <f>Model!Q121</f>
        <v>3962.1904359898244</v>
      </c>
      <c r="J44" s="288"/>
    </row>
    <row r="45" spans="1:11" ht="15" customHeight="1" x14ac:dyDescent="0.35">
      <c r="A45" s="213" t="s">
        <v>299</v>
      </c>
      <c r="B45" s="213"/>
      <c r="C45" s="286" t="s">
        <v>280</v>
      </c>
      <c r="D45" s="297">
        <f>Model!M152</f>
        <v>0</v>
      </c>
      <c r="E45" s="100">
        <f>Model!N152</f>
        <v>0</v>
      </c>
      <c r="F45" s="100">
        <f>Model!O152</f>
        <v>0</v>
      </c>
      <c r="G45" s="100">
        <f>Model!P152</f>
        <v>0</v>
      </c>
      <c r="H45" s="100">
        <f>Model!Q152</f>
        <v>0</v>
      </c>
      <c r="I45" s="100">
        <f>Model!Q152</f>
        <v>0</v>
      </c>
      <c r="J45" s="288"/>
    </row>
    <row r="46" spans="1:11" ht="15" customHeight="1" x14ac:dyDescent="0.35">
      <c r="A46" s="215" t="s">
        <v>300</v>
      </c>
      <c r="B46" s="215"/>
      <c r="C46" s="96" t="s">
        <v>280</v>
      </c>
      <c r="D46" s="97">
        <f>D42+D43+D44+D45</f>
        <v>10510.20345751449</v>
      </c>
      <c r="E46" s="97">
        <f>E42+E43+E44+E45</f>
        <v>8570.3990356997019</v>
      </c>
      <c r="F46" s="97">
        <f>F42+F43+F44+F45</f>
        <v>8589.6173356055006</v>
      </c>
      <c r="G46" s="97">
        <f>G42+G43+G44+G45</f>
        <v>8579.8413742243847</v>
      </c>
      <c r="H46" s="97">
        <f>H42+H43+H44+H45</f>
        <v>8543.1979232336289</v>
      </c>
      <c r="I46" s="97">
        <f>H42+H43+H44+H45</f>
        <v>8543.1979232336289</v>
      </c>
    </row>
    <row r="48" spans="1:11" ht="15" customHeight="1" x14ac:dyDescent="0.35">
      <c r="A48" s="6" t="s">
        <v>301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8" customHeight="1" x14ac:dyDescent="0.35">
      <c r="A49" s="3"/>
      <c r="B49" s="3"/>
      <c r="C49" s="86"/>
      <c r="D49" s="83" t="s">
        <v>275</v>
      </c>
      <c r="E49" s="83" t="s">
        <v>276</v>
      </c>
      <c r="F49" s="83" t="s">
        <v>277</v>
      </c>
      <c r="G49" s="83" t="s">
        <v>278</v>
      </c>
      <c r="H49" s="83" t="s">
        <v>279</v>
      </c>
    </row>
    <row r="50" spans="1:11" ht="15" customHeight="1" x14ac:dyDescent="0.35">
      <c r="A50" s="289" t="s">
        <v>302</v>
      </c>
      <c r="B50" s="289"/>
      <c r="C50" s="298"/>
      <c r="D50" s="299">
        <v>1</v>
      </c>
      <c r="E50" s="300">
        <v>2</v>
      </c>
      <c r="F50" s="300">
        <v>3</v>
      </c>
      <c r="G50" s="300">
        <v>4</v>
      </c>
      <c r="H50" s="300">
        <v>5</v>
      </c>
      <c r="I50" s="300">
        <v>5</v>
      </c>
      <c r="J50" s="288"/>
    </row>
    <row r="51" spans="1:11" ht="15" customHeight="1" x14ac:dyDescent="0.35">
      <c r="A51" s="213" t="s">
        <v>303</v>
      </c>
      <c r="B51" s="213"/>
      <c r="C51" s="298"/>
      <c r="D51" s="301">
        <f>1/(1+D10)^1</f>
        <v>0.89581653677326878</v>
      </c>
      <c r="E51" s="104">
        <f>1/(1+D10)^2</f>
        <v>0.80248726755645317</v>
      </c>
      <c r="F51" s="104">
        <f>1/(1+D10)^3</f>
        <v>0.71888136482706544</v>
      </c>
      <c r="G51" s="104">
        <f>1/(1+D10)^4</f>
        <v>0.64398581459022253</v>
      </c>
      <c r="H51" s="104">
        <f>1/(1+D10)^5</f>
        <v>0.57689314215732557</v>
      </c>
      <c r="I51" s="104">
        <f>1/(1+D10)^5</f>
        <v>0.57689314215732557</v>
      </c>
      <c r="J51" s="288"/>
    </row>
    <row r="52" spans="1:11" ht="15" customHeight="1" x14ac:dyDescent="0.35">
      <c r="A52" s="292" t="s">
        <v>304</v>
      </c>
      <c r="B52" s="292"/>
      <c r="C52" s="298"/>
      <c r="D52" s="296">
        <f>D46*D51</f>
        <v>9415.2140620930659</v>
      </c>
      <c r="E52" s="293">
        <f>E46*E51</f>
        <v>6877.6361040271149</v>
      </c>
      <c r="F52" s="293">
        <f>F46*F51</f>
        <v>6174.9158335623033</v>
      </c>
      <c r="G52" s="293">
        <f>G46*G51</f>
        <v>5525.2961364347848</v>
      </c>
      <c r="H52" s="293">
        <f>H46*H51</f>
        <v>4928.5122940061865</v>
      </c>
      <c r="I52" s="293">
        <f>H46*H51</f>
        <v>4928.5122940061865</v>
      </c>
      <c r="J52" s="288"/>
    </row>
    <row r="53" spans="1:11" ht="15" customHeight="1" x14ac:dyDescent="0.35">
      <c r="A53" s="215" t="s">
        <v>305</v>
      </c>
      <c r="B53" s="215"/>
      <c r="C53" s="105"/>
      <c r="D53" s="97">
        <f>SUM(D52:H52)</f>
        <v>32921.574430123452</v>
      </c>
      <c r="E53" s="216" t="s">
        <v>306</v>
      </c>
      <c r="F53" s="216"/>
      <c r="G53" s="216"/>
      <c r="H53" s="216"/>
      <c r="I53" s="216"/>
      <c r="J53" s="216"/>
      <c r="K53" s="216"/>
    </row>
    <row r="55" spans="1:11" ht="15" customHeight="1" x14ac:dyDescent="0.35">
      <c r="A55" s="3" t="s">
        <v>307</v>
      </c>
      <c r="B55" s="3"/>
      <c r="C55" s="3"/>
      <c r="D55" s="86" t="s">
        <v>308</v>
      </c>
      <c r="E55" s="86" t="s">
        <v>309</v>
      </c>
      <c r="F55" s="86" t="s">
        <v>310</v>
      </c>
      <c r="G55" s="3" t="s">
        <v>258</v>
      </c>
      <c r="H55" s="3"/>
      <c r="I55" s="3"/>
      <c r="J55" s="3"/>
      <c r="K55" s="3"/>
    </row>
    <row r="56" spans="1:11" ht="15" customHeight="1" x14ac:dyDescent="0.35">
      <c r="A56" s="214" t="s">
        <v>311</v>
      </c>
      <c r="B56" s="214"/>
      <c r="C56" s="214"/>
      <c r="D56" s="102">
        <f>H46*(1+D13)/(D10-D13)</f>
        <v>116447.25871773229</v>
      </c>
      <c r="E56" s="99">
        <f>D56*H51</f>
        <v>67177.6249772796</v>
      </c>
      <c r="F56" s="101">
        <f>E56/(D53+E56)</f>
        <v>0.67111051212175166</v>
      </c>
      <c r="G56" s="216" t="s">
        <v>312</v>
      </c>
      <c r="H56" s="216"/>
      <c r="I56" s="216"/>
      <c r="J56" s="216"/>
      <c r="K56" s="216"/>
    </row>
    <row r="57" spans="1:11" ht="15" customHeight="1" x14ac:dyDescent="0.35">
      <c r="A57" s="213" t="s">
        <v>313</v>
      </c>
      <c r="B57" s="213"/>
      <c r="C57" s="213"/>
      <c r="D57" s="106">
        <f>I25*D12</f>
        <v>71714.956938777817</v>
      </c>
      <c r="E57" s="100">
        <f>D57*H51</f>
        <v>41371.86684808883</v>
      </c>
      <c r="F57" s="98">
        <f>E57/(D53+E57)</f>
        <v>0.55687105262980707</v>
      </c>
      <c r="G57" s="216" t="s">
        <v>314</v>
      </c>
      <c r="H57" s="216"/>
      <c r="I57" s="216"/>
      <c r="J57" s="216"/>
      <c r="K57" s="216"/>
    </row>
    <row r="59" spans="1:11" ht="15" customHeight="1" x14ac:dyDescent="0.35">
      <c r="A59" s="6" t="s">
        <v>315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" customHeight="1" x14ac:dyDescent="0.35">
      <c r="A60" s="3"/>
      <c r="B60" s="3"/>
      <c r="C60" s="3"/>
      <c r="D60" s="86" t="s">
        <v>316</v>
      </c>
      <c r="E60" s="86" t="s">
        <v>317</v>
      </c>
      <c r="F60" s="86" t="s">
        <v>246</v>
      </c>
      <c r="G60" s="3" t="s">
        <v>258</v>
      </c>
      <c r="H60" s="3"/>
      <c r="I60" s="3"/>
      <c r="J60" s="3"/>
      <c r="K60" s="3"/>
    </row>
    <row r="61" spans="1:11" ht="15" customHeight="1" x14ac:dyDescent="0.35">
      <c r="A61" s="217" t="s">
        <v>318</v>
      </c>
      <c r="B61" s="217"/>
      <c r="C61" s="217"/>
      <c r="D61" s="106">
        <f>D53+E56</f>
        <v>100099.19940740305</v>
      </c>
      <c r="E61" s="106">
        <f>D53+E57</f>
        <v>74293.441278212282</v>
      </c>
      <c r="F61" s="106">
        <f>AVERAGE(D61,E61)</f>
        <v>87196.320342807667</v>
      </c>
      <c r="G61" s="216" t="s">
        <v>319</v>
      </c>
      <c r="H61" s="216"/>
      <c r="I61" s="216"/>
      <c r="J61" s="216"/>
      <c r="K61" s="216"/>
    </row>
    <row r="62" spans="1:11" ht="15" customHeight="1" x14ac:dyDescent="0.35">
      <c r="A62" s="214" t="s">
        <v>320</v>
      </c>
      <c r="B62" s="214"/>
      <c r="C62" s="214"/>
      <c r="D62" s="99">
        <f>D15</f>
        <v>18298</v>
      </c>
      <c r="E62" s="99">
        <f>D15</f>
        <v>18298</v>
      </c>
      <c r="F62" s="99">
        <f>D15</f>
        <v>18298</v>
      </c>
      <c r="G62" s="216" t="s">
        <v>321</v>
      </c>
      <c r="H62" s="216"/>
      <c r="I62" s="216"/>
      <c r="J62" s="216"/>
      <c r="K62" s="216"/>
    </row>
    <row r="63" spans="1:11" ht="15" customHeight="1" x14ac:dyDescent="0.35">
      <c r="A63" s="217" t="s">
        <v>322</v>
      </c>
      <c r="B63" s="217"/>
      <c r="C63" s="217"/>
      <c r="D63" s="106">
        <f>D61+D62</f>
        <v>118397.19940740305</v>
      </c>
      <c r="E63" s="106">
        <f>E61+E62</f>
        <v>92591.441278212282</v>
      </c>
      <c r="F63" s="106">
        <f>F61+F62</f>
        <v>105494.32034280767</v>
      </c>
      <c r="G63" s="216" t="s">
        <v>323</v>
      </c>
      <c r="H63" s="216"/>
      <c r="I63" s="216"/>
      <c r="J63" s="216"/>
      <c r="K63" s="216"/>
    </row>
    <row r="64" spans="1:11" ht="15" customHeight="1" x14ac:dyDescent="0.35">
      <c r="A64" s="214" t="s">
        <v>324</v>
      </c>
      <c r="B64" s="214"/>
      <c r="C64" s="214"/>
      <c r="D64" s="99">
        <f>D14*10</f>
        <v>174</v>
      </c>
      <c r="E64" s="99">
        <f>D14*10</f>
        <v>174</v>
      </c>
      <c r="F64" s="99">
        <f>D14*10</f>
        <v>174</v>
      </c>
      <c r="G64" s="216" t="s">
        <v>325</v>
      </c>
      <c r="H64" s="216"/>
      <c r="I64" s="216"/>
      <c r="J64" s="216"/>
      <c r="K64" s="216"/>
    </row>
    <row r="65" spans="1:11" ht="15" customHeight="1" x14ac:dyDescent="0.35">
      <c r="A65" s="215" t="s">
        <v>326</v>
      </c>
      <c r="B65" s="215"/>
      <c r="C65" s="215"/>
      <c r="D65" s="107">
        <f>D63/D64</f>
        <v>680.44367475518993</v>
      </c>
      <c r="E65" s="107">
        <f>E63/E64</f>
        <v>532.1347199897258</v>
      </c>
      <c r="F65" s="107">
        <f>F63/F64</f>
        <v>606.28919737245781</v>
      </c>
      <c r="G65" s="216" t="s">
        <v>327</v>
      </c>
      <c r="H65" s="216"/>
      <c r="I65" s="216"/>
      <c r="J65" s="216"/>
      <c r="K65" s="216"/>
    </row>
    <row r="66" spans="1:11" ht="15" customHeight="1" x14ac:dyDescent="0.35">
      <c r="A66" s="214" t="s">
        <v>270</v>
      </c>
      <c r="B66" s="214"/>
      <c r="C66" s="214"/>
      <c r="D66" s="103">
        <f>D16</f>
        <v>972</v>
      </c>
      <c r="E66" s="103">
        <f>D16</f>
        <v>972</v>
      </c>
      <c r="F66" s="103">
        <f>D16</f>
        <v>972</v>
      </c>
      <c r="G66" s="216" t="s">
        <v>271</v>
      </c>
      <c r="H66" s="216"/>
      <c r="I66" s="216"/>
      <c r="J66" s="216"/>
      <c r="K66" s="216"/>
    </row>
    <row r="67" spans="1:11" ht="15" customHeight="1" x14ac:dyDescent="0.35">
      <c r="A67" s="217" t="s">
        <v>328</v>
      </c>
      <c r="B67" s="217"/>
      <c r="C67" s="217"/>
      <c r="D67" s="108">
        <f>(D65-D66)/D66</f>
        <v>-0.29995506712429021</v>
      </c>
      <c r="E67" s="108">
        <f>(E65-D66)/D66</f>
        <v>-0.45253629630686648</v>
      </c>
      <c r="F67" s="108">
        <f>(F65-D66)/D66</f>
        <v>-0.37624568171557837</v>
      </c>
      <c r="G67" s="216" t="s">
        <v>329</v>
      </c>
      <c r="H67" s="216"/>
      <c r="I67" s="216"/>
      <c r="J67" s="216"/>
      <c r="K67" s="216"/>
    </row>
    <row r="69" spans="1:11" ht="15" customHeight="1" x14ac:dyDescent="0.35">
      <c r="A69" s="6" t="s">
        <v>330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23.25" customHeight="1" x14ac:dyDescent="0.35">
      <c r="A70" s="86" t="s">
        <v>331</v>
      </c>
      <c r="B70" s="86" t="s">
        <v>332</v>
      </c>
      <c r="C70" s="86" t="s">
        <v>333</v>
      </c>
      <c r="D70" s="86" t="s">
        <v>334</v>
      </c>
      <c r="E70" s="86" t="s">
        <v>335</v>
      </c>
      <c r="F70" s="86" t="s">
        <v>336</v>
      </c>
      <c r="G70" s="86" t="s">
        <v>337</v>
      </c>
      <c r="H70" s="86" t="s">
        <v>338</v>
      </c>
    </row>
    <row r="71" spans="1:11" ht="15" customHeight="1" x14ac:dyDescent="0.35">
      <c r="A71" s="302" t="s">
        <v>339</v>
      </c>
      <c r="B71" s="294">
        <f>(E46/(1+0.09)^1+F46/(1+0.09)^2+G46/(1+0.09)^3+H46/(1+0.09)^4+I46/(1+0.09)^5+I46*(1+0.02)/(0.09-0.02)/(1+0.09)^5+D15)/(D14*10)</f>
        <v>761.65591331947564</v>
      </c>
      <c r="C71" s="294">
        <f>(E46/(1+0.1)^1+F46/(1+0.1)^2+G46/(1+0.1)^3+H46/(1+0.1)^4+I46/(1+0.1)^5+I46*(1+0.02)/(0.1-0.02)/(1+0.1)^5+D15)/(D14*10)</f>
        <v>680.50804176862698</v>
      </c>
      <c r="D71" s="294">
        <f>(E46/(1+0.1163)^1+F46/(1+0.1163)^2+G46/(1+0.1163)^3+H46/(1+0.1163)^4+I46/(1+0.1163)^5+I46*(1+0.02)/(0.1163-0.02)/(1+0.1163)^5+D15)/(D14*10)</f>
        <v>584.30444410968232</v>
      </c>
      <c r="E71" s="294">
        <f>(E46/(1+0.12)^1+F46/(1+0.12)^2+G46/(1+0.12)^3+H46/(1+0.12)^4+I46/(1+0.12)^5+I46*(1+0.02)/(0.12-0.02)/(1+0.12)^5+D15)/(D14*10)</f>
        <v>566.825390631137</v>
      </c>
      <c r="F71" s="294">
        <f>(E46/(1+0.13)^1+F46/(1+0.13)^2+G46/(1+0.13)^3+H46/(1+0.13)^4+I46/(1+0.13)^5+I46*(1+0.02)/(0.13-0.02)/(1+0.13)^5+D15)/(D14*10)</f>
        <v>525.45393205591893</v>
      </c>
      <c r="G71" s="294">
        <f>(E46/(1+0.14)^1+F46/(1+0.14)^2+G46/(1+0.14)^3+H46/(1+0.14)^4+I46/(1+0.14)^5+I46*(1+0.02)/(0.14-0.02)/(1+0.14)^5+D15)/(D14*10)</f>
        <v>490.95914568957778</v>
      </c>
      <c r="H71" s="302" t="s">
        <v>340</v>
      </c>
      <c r="I71" s="288"/>
    </row>
    <row r="72" spans="1:11" ht="15" customHeight="1" x14ac:dyDescent="0.35">
      <c r="A72" s="89" t="s">
        <v>341</v>
      </c>
      <c r="B72" s="109">
        <f>(E46/(1+0.09)^1+F46/(1+0.09)^2+G46/(1+0.09)^3+H46/(1+0.09)^4+I46/(1+0.09)^5+I46*(1+0.03)/(0.09-0.03)/(1+0.09)^5+D15)/(D14*10)</f>
        <v>844.47223504824581</v>
      </c>
      <c r="C72" s="109">
        <f>(E46/(1+0.1)^1+F46/(1+0.1)^2+G46/(1+0.1)^3+H46/(1+0.1)^4+I46/(1+0.1)^5+I46*(1+0.03)/(0.1-0.03)/(1+0.1)^5+D15)/(D14*10)</f>
        <v>740.39226932830979</v>
      </c>
      <c r="D72" s="109">
        <f>(E46/(1+0.1163)^1+F46/(1+0.1163)^2+G46/(1+0.1163)^3+H46/(1+0.1163)^4+I46/(1+0.1163)^5+I46*(1+0.03)/(0.1163-0.03)/(1+0.1163)^5+D15)/(D14*10)</f>
        <v>622.3505697581503</v>
      </c>
      <c r="E72" s="109">
        <f>(E46/(1+0.12)^1+F46/(1+0.12)^2+G46/(1+0.12)^3+H46/(1+0.12)^4+I46/(1+0.12)^5+I46*(1+0.03)/(0.12-0.03)/(1+0.12)^5+D15)/(D14*10)</f>
        <v>601.49561239107027</v>
      </c>
      <c r="F72" s="109">
        <f>(E46/(1+0.13)^1+F46/(1+0.13)^2+G46/(1+0.13)^3+H46/(1+0.13)^4+I46/(1+0.13)^5+I46*(1+0.03)/(0.13-0.03)/(1+0.13)^5+D15)/(D14*10)</f>
        <v>552.82960227844114</v>
      </c>
      <c r="G72" s="109">
        <f>(E46/(1+0.14)^1+F46/(1+0.14)^2+G46/(1+0.14)^3+H46/(1+0.14)^4+I46/(1+0.14)^5+I46*(1+0.03)/(0.14-0.03)/(1+0.14)^5+D15)/(D14*10)</f>
        <v>512.98221690177115</v>
      </c>
      <c r="H72" s="89" t="s">
        <v>342</v>
      </c>
      <c r="I72" s="288"/>
    </row>
    <row r="73" spans="1:11" ht="15" customHeight="1" x14ac:dyDescent="0.35">
      <c r="A73" s="302" t="s">
        <v>343</v>
      </c>
      <c r="B73" s="294">
        <f>(E46/(1+0.09)^1+F46/(1+0.09)^2+G46/(1+0.09)^3+H46/(1+0.09)^4+I46/(1+0.09)^5+I46*(1+0.04)/(0.09-0.04)/(1+0.09)^5+D15)/(D14*10)</f>
        <v>960.41508546852424</v>
      </c>
      <c r="C73" s="294">
        <f>(E46/(1+0.1)^1+F46/(1+0.1)^2+G46/(1+0.1)^3+H46/(1+0.1)^4+I46/(1+0.1)^5+I46*(1+0.04)/(0.1-0.04)/(1+0.1)^5+D15)/(D14*10)</f>
        <v>820.23790607455351</v>
      </c>
      <c r="D73" s="303">
        <f>(E46/(1+0.1163)^1+F46/(1+0.1163)^2+G46/(1+0.1163)^3+H46/(1+0.1163)^4+I46/(1+0.1163)^5+I46*(1+0.04)/(0.1163-0.04)/(1+0.1163)^5+D15)/(D14*10)</f>
        <v>670.36946752941435</v>
      </c>
      <c r="E73" s="294">
        <f>(E46/(1+0.12)^1+F46/(1+0.12)^2+G46/(1+0.12)^3+H46/(1+0.12)^4+I46/(1+0.12)^5+I46*(1+0.04)/(0.12-0.04)/(1+0.12)^5+D15)/(D14*10)</f>
        <v>644.83338959098728</v>
      </c>
      <c r="F73" s="294">
        <f>(E46/(1+0.13)^1+F46/(1+0.13)^2+G46/(1+0.13)^3+H46/(1+0.13)^4+I46/(1+0.13)^5+I46*(1+0.04)/(0.13-0.04)/(1+0.13)^5+D15)/(D14*10)</f>
        <v>586.28875477263489</v>
      </c>
      <c r="G73" s="294">
        <f>(E46/(1+0.14)^1+F46/(1+0.14)^2+G46/(1+0.14)^3+H46/(1+0.14)^4+I46/(1+0.14)^5+I46*(1+0.04)/(0.14-0.04)/(1+0.14)^5+D15)/(D14*10)</f>
        <v>539.40990235640334</v>
      </c>
      <c r="H73" s="302" t="s">
        <v>344</v>
      </c>
      <c r="I73" s="288"/>
    </row>
    <row r="74" spans="1:11" ht="15" customHeight="1" x14ac:dyDescent="0.35">
      <c r="A74" s="89" t="s">
        <v>345</v>
      </c>
      <c r="B74" s="109">
        <f>(E46/(1+0.09)^1+F46/(1+0.09)^2+G46/(1+0.09)^3+H46/(1+0.09)^4+I46/(1+0.09)^5+I46*(1+0.05)/(0.09-0.05)/(1+0.09)^5+D15)/(D14*10)</f>
        <v>1134.3293610989419</v>
      </c>
      <c r="C74" s="109">
        <f>(E46/(1+0.1)^1+F46/(1+0.1)^2+G46/(1+0.1)^3+H46/(1+0.1)^4+I46/(1+0.1)^5+I46*(1+0.05)/(0.1-0.05)/(1+0.1)^5+D15)/(D14*10)</f>
        <v>932.02179751929475</v>
      </c>
      <c r="D74" s="109">
        <f>(E46/(1+0.1163)^1+F46/(1+0.1163)^2+G46/(1+0.1163)^3+H46/(1+0.1163)^4+I46/(1+0.1163)^5+I46*(1+0.05)/(0.1163-0.05)/(1+0.1163)^5+D15)/(D14*10)</f>
        <v>732.873703994876</v>
      </c>
      <c r="E74" s="109">
        <f>(E46/(1+0.12)^1+F46/(1+0.12)^2+G46/(1+0.12)^3+H46/(1+0.12)^4+I46/(1+0.12)^5+I46*(1+0.05)/(0.12-0.05)/(1+0.12)^5+D15)/(D14*10)</f>
        <v>700.55338884802313</v>
      </c>
      <c r="F74" s="109">
        <f>(E46/(1+0.13)^1+F46/(1+0.13)^2+G46/(1+0.13)^3+H46/(1+0.13)^4+I46/(1+0.13)^5+I46*(1+0.05)/(0.13-0.05)/(1+0.13)^5+D15)/(D14*10)</f>
        <v>628.1126953903771</v>
      </c>
      <c r="G74" s="109">
        <f>(E46/(1+0.14)^1+F46/(1+0.14)^2+G46/(1+0.14)^3+H46/(1+0.14)^4+I46/(1+0.14)^5+I46*(1+0.05)/(0.14-0.05)/(1+0.14)^5+D15)/(D14*10)</f>
        <v>571.71040680095371</v>
      </c>
      <c r="H74" s="89" t="s">
        <v>346</v>
      </c>
      <c r="I74" s="288"/>
    </row>
    <row r="75" spans="1:11" ht="15" customHeight="1" x14ac:dyDescent="0.35">
      <c r="A75" s="302" t="s">
        <v>347</v>
      </c>
      <c r="B75" s="294">
        <f>(E46/(1+0.09)^1+F46/(1+0.09)^2+G46/(1+0.09)^3+H46/(1+0.09)^4+I46/(1+0.09)^5+I46*(1+0.06)/(0.09-0.06)/(1+0.09)^5+D15)/(D14*10)</f>
        <v>1424.1864871496377</v>
      </c>
      <c r="C75" s="294">
        <f>(E46/(1+0.1)^1+F46/(1+0.1)^2+G46/(1+0.1)^3+H46/(1+0.1)^4+I46/(1+0.1)^5+I46*(1+0.06)/(0.1-0.06)/(1+0.1)^5+D15)/(D14*10)</f>
        <v>1099.6976346864067</v>
      </c>
      <c r="D75" s="294">
        <f>(E46/(1+0.1163)^1+F46/(1+0.1163)^2+G46/(1+0.1163)^3+H46/(1+0.1163)^4+I46/(1+0.1163)^5+I46*(1+0.06)/(0.1163-0.06)/(1+0.1163)^5+D15)/(D14*10)</f>
        <v>817.58193209993317</v>
      </c>
      <c r="E75" s="294">
        <f>(E46/(1+0.12)^1+F46/(1+0.12)^2+G46/(1+0.12)^3+H46/(1+0.12)^4+I46/(1+0.12)^5+I46*(1+0.06)/(0.12-0.06)/(1+0.12)^5+D15)/(D14*10)</f>
        <v>774.84672119073775</v>
      </c>
      <c r="F75" s="294">
        <f>(E46/(1+0.13)^1+F46/(1+0.13)^2+G46/(1+0.13)^3+H46/(1+0.13)^4+I46/(1+0.13)^5+I46*(1+0.06)/(0.13-0.06)/(1+0.13)^5+D15)/(D14*10)</f>
        <v>681.88633332747429</v>
      </c>
      <c r="G75" s="294">
        <f>(E46/(1+0.14)^1+F46/(1+0.14)^2+G46/(1+0.14)^3+H46/(1+0.14)^4+I46/(1+0.14)^5+I46*(1+0.06)/(0.14-0.06)/(1+0.14)^5+D15)/(D14*10)</f>
        <v>612.08603735664178</v>
      </c>
      <c r="H75" s="302" t="s">
        <v>348</v>
      </c>
      <c r="I75" s="288"/>
    </row>
    <row r="77" spans="1:11" ht="15" customHeight="1" x14ac:dyDescent="0.35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</row>
  </sheetData>
  <mergeCells count="83">
    <mergeCell ref="A69:K69"/>
    <mergeCell ref="A77:K77"/>
    <mergeCell ref="A65:C65"/>
    <mergeCell ref="G65:K65"/>
    <mergeCell ref="A66:C66"/>
    <mergeCell ref="G66:K66"/>
    <mergeCell ref="A67:C67"/>
    <mergeCell ref="G67:K67"/>
    <mergeCell ref="A62:C62"/>
    <mergeCell ref="G62:K62"/>
    <mergeCell ref="A63:C63"/>
    <mergeCell ref="G63:K63"/>
    <mergeCell ref="A64:C64"/>
    <mergeCell ref="G64:K64"/>
    <mergeCell ref="A59:K59"/>
    <mergeCell ref="A60:C60"/>
    <mergeCell ref="G60:K60"/>
    <mergeCell ref="A61:C61"/>
    <mergeCell ref="G61:K61"/>
    <mergeCell ref="A55:C55"/>
    <mergeCell ref="G55:K55"/>
    <mergeCell ref="A56:C56"/>
    <mergeCell ref="G56:K56"/>
    <mergeCell ref="A57:C57"/>
    <mergeCell ref="G57:K57"/>
    <mergeCell ref="A50:B50"/>
    <mergeCell ref="A51:B51"/>
    <mergeCell ref="A52:B52"/>
    <mergeCell ref="A53:B53"/>
    <mergeCell ref="E53:K53"/>
    <mergeCell ref="A44:B44"/>
    <mergeCell ref="A45:B45"/>
    <mergeCell ref="A46:B46"/>
    <mergeCell ref="A48:K48"/>
    <mergeCell ref="A49:B49"/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8:K38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K18"/>
    <mergeCell ref="A19:B19"/>
    <mergeCell ref="A20:B20"/>
    <mergeCell ref="A21:B21"/>
    <mergeCell ref="A22:B22"/>
    <mergeCell ref="A14:C14"/>
    <mergeCell ref="E14:K14"/>
    <mergeCell ref="A15:C15"/>
    <mergeCell ref="E15:K15"/>
    <mergeCell ref="A16:C16"/>
    <mergeCell ref="E16:K16"/>
    <mergeCell ref="A11:C11"/>
    <mergeCell ref="E11:K11"/>
    <mergeCell ref="A12:C12"/>
    <mergeCell ref="E12:K12"/>
    <mergeCell ref="A13:C13"/>
    <mergeCell ref="E13:K13"/>
    <mergeCell ref="A6:C6"/>
    <mergeCell ref="A8:K8"/>
    <mergeCell ref="A9:C9"/>
    <mergeCell ref="E9:K9"/>
    <mergeCell ref="A10:C10"/>
    <mergeCell ref="E10:K10"/>
    <mergeCell ref="A1:K1"/>
    <mergeCell ref="A2:K2"/>
    <mergeCell ref="A4:K4"/>
    <mergeCell ref="A5:C5"/>
    <mergeCell ref="F5:K5"/>
  </mergeCells>
  <dataValidations count="1">
    <dataValidation type="list" showErrorMessage="1" errorTitle="Invalid" error="Select: Base Case, Bull Case, or Bear Case" sqref="D5" xr:uid="{00000000-0002-0000-0500-000000000000}">
      <formula1>"Base Case,Bull Case,Bear Case"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E70:G70 B70:D7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24"/>
  <sheetViews>
    <sheetView showGridLines="0" topLeftCell="A11" zoomScale="63" zoomScaleNormal="63" workbookViewId="0">
      <selection activeCell="N34" sqref="N34"/>
    </sheetView>
  </sheetViews>
  <sheetFormatPr defaultColWidth="11.6328125" defaultRowHeight="14.5" outlineLevelRow="1" x14ac:dyDescent="0.35"/>
  <cols>
    <col min="1" max="3" width="1.26953125" style="11" customWidth="1"/>
    <col min="4" max="4" width="40.6328125" style="11" customWidth="1"/>
    <col min="5" max="5" width="13.90625" style="11" customWidth="1"/>
    <col min="6" max="6" width="14.26953125" style="11" customWidth="1"/>
    <col min="7" max="7" width="10.7265625" style="11" bestFit="1" customWidth="1"/>
    <col min="8" max="8" width="12.90625" style="11" customWidth="1"/>
    <col min="9" max="9" width="14.26953125" style="11" customWidth="1"/>
    <col min="10" max="16384" width="11.6328125" style="11"/>
  </cols>
  <sheetData>
    <row r="1" spans="1:19" ht="33" customHeight="1" x14ac:dyDescent="0.7">
      <c r="A1" s="110" t="s">
        <v>0</v>
      </c>
      <c r="B1" s="111"/>
      <c r="C1" s="111"/>
      <c r="D1" s="111"/>
      <c r="E1" s="13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3"/>
      <c r="S1" s="13"/>
    </row>
    <row r="2" spans="1:19" ht="20.25" customHeight="1" x14ac:dyDescent="0.45">
      <c r="A2" s="49" t="s">
        <v>349</v>
      </c>
      <c r="B2" s="111"/>
      <c r="C2" s="111"/>
      <c r="D2" s="111"/>
      <c r="E2" s="13"/>
      <c r="F2" s="13"/>
      <c r="G2" s="13"/>
      <c r="H2" s="112"/>
      <c r="I2" s="112"/>
      <c r="J2" s="112"/>
      <c r="K2" s="112"/>
      <c r="L2" s="112"/>
      <c r="M2" s="42"/>
      <c r="N2" s="42"/>
      <c r="O2" s="42"/>
      <c r="P2" s="42"/>
      <c r="Q2" s="42"/>
      <c r="R2" s="13"/>
      <c r="S2" s="13"/>
    </row>
    <row r="3" spans="1:19" ht="20.25" customHeight="1" x14ac:dyDescent="0.45">
      <c r="A3" s="43"/>
      <c r="B3" s="44"/>
      <c r="C3" s="44"/>
      <c r="D3" s="45"/>
      <c r="E3" s="45"/>
      <c r="F3" s="45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9" ht="20.25" customHeight="1" x14ac:dyDescent="0.45">
      <c r="A4" s="43"/>
      <c r="B4" s="44"/>
      <c r="C4" s="44"/>
      <c r="D4" s="113"/>
      <c r="E4" s="219" t="s">
        <v>350</v>
      </c>
      <c r="F4" s="219"/>
      <c r="G4" s="219"/>
      <c r="H4" s="219"/>
      <c r="I4" s="219"/>
      <c r="J4" s="219"/>
      <c r="K4" s="219"/>
      <c r="L4" s="114"/>
      <c r="M4" s="220" t="s">
        <v>351</v>
      </c>
      <c r="N4" s="220"/>
      <c r="O4" s="220"/>
      <c r="P4" s="115"/>
      <c r="Q4" s="221" t="s">
        <v>352</v>
      </c>
      <c r="R4" s="221"/>
      <c r="S4" s="221"/>
    </row>
    <row r="5" spans="1:19" ht="20.25" customHeight="1" x14ac:dyDescent="0.45">
      <c r="A5" s="43"/>
      <c r="B5" s="43"/>
      <c r="C5" s="43"/>
      <c r="D5" s="116"/>
      <c r="E5" s="113" t="s">
        <v>353</v>
      </c>
      <c r="F5" s="113" t="s">
        <v>354</v>
      </c>
      <c r="G5" s="113" t="s">
        <v>355</v>
      </c>
      <c r="H5" s="113" t="s">
        <v>248</v>
      </c>
      <c r="I5" s="113" t="s">
        <v>198</v>
      </c>
      <c r="J5" s="113" t="s">
        <v>185</v>
      </c>
      <c r="K5" s="117" t="s">
        <v>356</v>
      </c>
      <c r="L5" s="116"/>
      <c r="M5" s="113" t="s">
        <v>357</v>
      </c>
      <c r="N5" s="113" t="s">
        <v>174</v>
      </c>
      <c r="O5" s="113" t="s">
        <v>358</v>
      </c>
      <c r="P5" s="24"/>
      <c r="Q5" s="116" t="s">
        <v>359</v>
      </c>
      <c r="R5" s="116" t="s">
        <v>360</v>
      </c>
      <c r="S5" s="116" t="s">
        <v>361</v>
      </c>
    </row>
    <row r="6" spans="1:19" ht="20.25" customHeight="1" x14ac:dyDescent="0.45">
      <c r="A6" s="43"/>
      <c r="B6" s="44"/>
      <c r="C6" s="44"/>
      <c r="D6" s="113" t="s">
        <v>362</v>
      </c>
      <c r="E6" s="116"/>
      <c r="F6" s="116" t="s">
        <v>363</v>
      </c>
      <c r="G6" s="116" t="s">
        <v>364</v>
      </c>
      <c r="H6" s="118" t="s">
        <v>280</v>
      </c>
      <c r="I6" s="118" t="s">
        <v>280</v>
      </c>
      <c r="J6" s="118" t="s">
        <v>280</v>
      </c>
      <c r="K6" s="118" t="s">
        <v>280</v>
      </c>
      <c r="L6" s="116"/>
      <c r="M6" s="118" t="s">
        <v>280</v>
      </c>
      <c r="N6" s="118" t="s">
        <v>280</v>
      </c>
      <c r="O6" s="118" t="s">
        <v>280</v>
      </c>
      <c r="P6" s="24"/>
      <c r="Q6" s="118" t="s">
        <v>365</v>
      </c>
      <c r="R6" s="118" t="s">
        <v>365</v>
      </c>
      <c r="S6" s="118" t="s">
        <v>365</v>
      </c>
    </row>
    <row r="7" spans="1:19" ht="20.25" customHeight="1" x14ac:dyDescent="0.45">
      <c r="A7" s="43"/>
      <c r="B7" s="44"/>
      <c r="C7" s="44"/>
      <c r="D7" s="119"/>
      <c r="E7" s="120"/>
      <c r="F7" s="120"/>
      <c r="G7" s="120"/>
      <c r="H7" s="121"/>
      <c r="I7" s="122"/>
      <c r="J7" s="120"/>
      <c r="K7" s="121"/>
      <c r="L7" s="120"/>
      <c r="M7" s="121"/>
      <c r="N7" s="121"/>
      <c r="O7" s="121"/>
      <c r="P7" s="123"/>
      <c r="Q7" s="121"/>
      <c r="R7" s="121"/>
      <c r="S7" s="121"/>
    </row>
    <row r="8" spans="1:19" ht="15" customHeight="1" x14ac:dyDescent="0.35">
      <c r="A8" s="124"/>
      <c r="B8" s="124"/>
      <c r="C8" s="124"/>
      <c r="D8" s="11" t="s">
        <v>366</v>
      </c>
      <c r="E8" s="11" t="s">
        <v>367</v>
      </c>
      <c r="F8" s="51">
        <v>1775</v>
      </c>
      <c r="G8" s="51">
        <v>58</v>
      </c>
      <c r="H8" s="51">
        <f t="shared" ref="H8:H17" si="0">F8*G8</f>
        <v>102950</v>
      </c>
      <c r="I8" s="51">
        <v>2850</v>
      </c>
      <c r="J8" s="51">
        <v>8200</v>
      </c>
      <c r="K8" s="51">
        <f t="shared" ref="K8:K17" si="1">H8+I8-J8</f>
        <v>97600</v>
      </c>
      <c r="L8" s="51"/>
      <c r="M8" s="51">
        <v>44922</v>
      </c>
      <c r="N8" s="51">
        <v>5100</v>
      </c>
      <c r="O8" s="51">
        <v>4151</v>
      </c>
      <c r="P8" s="51"/>
      <c r="Q8" s="56">
        <f t="shared" ref="Q8:Q17" si="2">K8/M8</f>
        <v>2.1726548239170116</v>
      </c>
      <c r="R8" s="56">
        <f t="shared" ref="R8:R17" si="3">K8/N8</f>
        <v>19.137254901960784</v>
      </c>
      <c r="S8" s="56">
        <f t="shared" ref="S8:S17" si="4">H8/O8</f>
        <v>24.801252710190315</v>
      </c>
    </row>
    <row r="9" spans="1:19" ht="15" customHeight="1" x14ac:dyDescent="0.35">
      <c r="A9" s="124"/>
      <c r="B9" s="124"/>
      <c r="C9" s="124"/>
      <c r="D9" s="125" t="s">
        <v>368</v>
      </c>
      <c r="E9" s="126" t="s">
        <v>369</v>
      </c>
      <c r="F9" s="51">
        <v>580</v>
      </c>
      <c r="G9" s="51">
        <v>315</v>
      </c>
      <c r="H9" s="51">
        <f t="shared" si="0"/>
        <v>182700</v>
      </c>
      <c r="I9" s="51">
        <v>1200</v>
      </c>
      <c r="J9" s="51">
        <v>12500</v>
      </c>
      <c r="K9" s="51">
        <f t="shared" si="1"/>
        <v>171400</v>
      </c>
      <c r="L9" s="51"/>
      <c r="M9" s="51">
        <v>35105</v>
      </c>
      <c r="N9" s="51">
        <v>5827</v>
      </c>
      <c r="O9" s="51">
        <v>3447</v>
      </c>
      <c r="P9" s="51"/>
      <c r="Q9" s="56">
        <f t="shared" si="2"/>
        <v>4.8824953710297683</v>
      </c>
      <c r="R9" s="56">
        <f t="shared" si="3"/>
        <v>29.414793204050113</v>
      </c>
      <c r="S9" s="56">
        <f t="shared" si="4"/>
        <v>53.002610966057439</v>
      </c>
    </row>
    <row r="10" spans="1:19" ht="15" customHeight="1" x14ac:dyDescent="0.35">
      <c r="A10" s="124"/>
      <c r="B10" s="124"/>
      <c r="C10" s="124"/>
      <c r="D10" s="125" t="s">
        <v>370</v>
      </c>
      <c r="E10" s="126" t="s">
        <v>371</v>
      </c>
      <c r="F10" s="51">
        <v>2510</v>
      </c>
      <c r="G10" s="51">
        <v>277</v>
      </c>
      <c r="H10" s="51">
        <f t="shared" si="0"/>
        <v>695270</v>
      </c>
      <c r="I10" s="51">
        <v>2100</v>
      </c>
      <c r="J10" s="51">
        <v>28000</v>
      </c>
      <c r="K10" s="51">
        <f t="shared" si="1"/>
        <v>669370</v>
      </c>
      <c r="L10" s="51"/>
      <c r="M10" s="51">
        <v>89520</v>
      </c>
      <c r="N10" s="51">
        <v>16800</v>
      </c>
      <c r="O10" s="51">
        <v>12500</v>
      </c>
      <c r="P10" s="51"/>
      <c r="Q10" s="56">
        <f t="shared" si="2"/>
        <v>7.4773235031277929</v>
      </c>
      <c r="R10" s="56">
        <f t="shared" si="3"/>
        <v>39.843452380952378</v>
      </c>
      <c r="S10" s="56">
        <f t="shared" si="4"/>
        <v>55.621600000000001</v>
      </c>
    </row>
    <row r="11" spans="1:19" ht="15" customHeight="1" x14ac:dyDescent="0.35">
      <c r="A11" s="124"/>
      <c r="B11" s="124"/>
      <c r="C11" s="124"/>
      <c r="D11" s="125" t="s">
        <v>372</v>
      </c>
      <c r="E11" s="126" t="s">
        <v>373</v>
      </c>
      <c r="F11" s="51">
        <v>620</v>
      </c>
      <c r="G11" s="51">
        <v>330</v>
      </c>
      <c r="H11" s="51">
        <f t="shared" si="0"/>
        <v>204600</v>
      </c>
      <c r="I11" s="51">
        <v>800</v>
      </c>
      <c r="J11" s="51">
        <v>6500</v>
      </c>
      <c r="K11" s="51">
        <f t="shared" si="1"/>
        <v>198900</v>
      </c>
      <c r="L11" s="51"/>
      <c r="M11" s="51">
        <v>20400</v>
      </c>
      <c r="N11" s="51">
        <v>4200</v>
      </c>
      <c r="O11" s="51">
        <v>3420</v>
      </c>
      <c r="P11" s="51"/>
      <c r="Q11" s="56">
        <f t="shared" si="2"/>
        <v>9.75</v>
      </c>
      <c r="R11" s="56">
        <f t="shared" si="3"/>
        <v>47.357142857142854</v>
      </c>
      <c r="S11" s="56">
        <f t="shared" si="4"/>
        <v>59.824561403508774</v>
      </c>
    </row>
    <row r="12" spans="1:19" ht="15" customHeight="1" x14ac:dyDescent="0.35">
      <c r="A12" s="124"/>
      <c r="B12" s="124"/>
      <c r="C12" s="124"/>
      <c r="D12" s="125" t="s">
        <v>374</v>
      </c>
      <c r="E12" s="126" t="s">
        <v>375</v>
      </c>
      <c r="F12" s="51">
        <v>3800</v>
      </c>
      <c r="G12" s="51">
        <v>29</v>
      </c>
      <c r="H12" s="51">
        <f t="shared" si="0"/>
        <v>110200</v>
      </c>
      <c r="I12" s="51">
        <v>0</v>
      </c>
      <c r="J12" s="51">
        <v>8500</v>
      </c>
      <c r="K12" s="51">
        <f t="shared" si="1"/>
        <v>101700</v>
      </c>
      <c r="L12" s="51"/>
      <c r="M12" s="51">
        <v>13250</v>
      </c>
      <c r="N12" s="51">
        <v>3100</v>
      </c>
      <c r="O12" s="51">
        <v>2350</v>
      </c>
      <c r="P12" s="51"/>
      <c r="Q12" s="56">
        <f t="shared" si="2"/>
        <v>7.6754716981132072</v>
      </c>
      <c r="R12" s="56">
        <f t="shared" si="3"/>
        <v>32.806451612903224</v>
      </c>
      <c r="S12" s="56">
        <f t="shared" si="4"/>
        <v>46.893617021276597</v>
      </c>
    </row>
    <row r="13" spans="1:19" ht="15" customHeight="1" x14ac:dyDescent="0.35">
      <c r="A13" s="124"/>
      <c r="B13" s="124"/>
      <c r="C13" s="124"/>
      <c r="D13" s="125" t="s">
        <v>376</v>
      </c>
      <c r="E13" s="126" t="s">
        <v>377</v>
      </c>
      <c r="F13" s="51">
        <v>1050</v>
      </c>
      <c r="G13" s="51">
        <v>27</v>
      </c>
      <c r="H13" s="51">
        <f t="shared" si="0"/>
        <v>28350</v>
      </c>
      <c r="I13" s="51">
        <v>3200</v>
      </c>
      <c r="J13" s="51">
        <v>2800</v>
      </c>
      <c r="K13" s="51">
        <f t="shared" si="1"/>
        <v>28750</v>
      </c>
      <c r="L13" s="51"/>
      <c r="M13" s="51">
        <v>9840</v>
      </c>
      <c r="N13" s="51">
        <v>1950</v>
      </c>
      <c r="O13" s="51">
        <v>1420</v>
      </c>
      <c r="P13" s="51"/>
      <c r="Q13" s="56">
        <f t="shared" si="2"/>
        <v>2.9217479674796749</v>
      </c>
      <c r="R13" s="56">
        <f t="shared" si="3"/>
        <v>14.743589743589743</v>
      </c>
      <c r="S13" s="56">
        <f t="shared" si="4"/>
        <v>19.964788732394368</v>
      </c>
    </row>
    <row r="14" spans="1:19" ht="15" customHeight="1" x14ac:dyDescent="0.35">
      <c r="A14" s="124"/>
      <c r="B14" s="124"/>
      <c r="C14" s="124"/>
      <c r="D14" s="125" t="s">
        <v>378</v>
      </c>
      <c r="E14" s="126" t="s">
        <v>379</v>
      </c>
      <c r="F14" s="51">
        <v>570</v>
      </c>
      <c r="G14" s="51">
        <v>14</v>
      </c>
      <c r="H14" s="51">
        <f t="shared" si="0"/>
        <v>7980</v>
      </c>
      <c r="I14" s="51">
        <v>1800</v>
      </c>
      <c r="J14" s="51">
        <v>1200</v>
      </c>
      <c r="K14" s="51">
        <f t="shared" si="1"/>
        <v>8580</v>
      </c>
      <c r="L14" s="51"/>
      <c r="M14" s="51">
        <v>5830</v>
      </c>
      <c r="N14" s="51">
        <v>870</v>
      </c>
      <c r="O14" s="51">
        <v>620</v>
      </c>
      <c r="P14" s="51"/>
      <c r="Q14" s="56">
        <f t="shared" si="2"/>
        <v>1.4716981132075471</v>
      </c>
      <c r="R14" s="56">
        <f t="shared" si="3"/>
        <v>9.862068965517242</v>
      </c>
      <c r="S14" s="56">
        <f t="shared" si="4"/>
        <v>12.870967741935484</v>
      </c>
    </row>
    <row r="15" spans="1:19" ht="15" customHeight="1" x14ac:dyDescent="0.35">
      <c r="A15" s="124"/>
      <c r="B15" s="124"/>
      <c r="C15" s="124"/>
      <c r="D15" s="125" t="s">
        <v>380</v>
      </c>
      <c r="E15" s="126" t="s">
        <v>381</v>
      </c>
      <c r="F15" s="51">
        <v>460</v>
      </c>
      <c r="G15" s="51">
        <v>14</v>
      </c>
      <c r="H15" s="51">
        <f t="shared" si="0"/>
        <v>6440</v>
      </c>
      <c r="I15" s="51">
        <v>350</v>
      </c>
      <c r="J15" s="51">
        <v>950</v>
      </c>
      <c r="K15" s="51">
        <f t="shared" si="1"/>
        <v>5840</v>
      </c>
      <c r="L15" s="51"/>
      <c r="M15" s="51">
        <v>2850</v>
      </c>
      <c r="N15" s="51">
        <v>510</v>
      </c>
      <c r="O15" s="51">
        <v>350</v>
      </c>
      <c r="P15" s="51"/>
      <c r="Q15" s="56">
        <f t="shared" si="2"/>
        <v>2.049122807017544</v>
      </c>
      <c r="R15" s="56">
        <f t="shared" si="3"/>
        <v>11.450980392156863</v>
      </c>
      <c r="S15" s="56">
        <f t="shared" si="4"/>
        <v>18.399999999999999</v>
      </c>
    </row>
    <row r="16" spans="1:19" ht="15" customHeight="1" x14ac:dyDescent="0.35">
      <c r="A16" s="124"/>
      <c r="B16" s="124"/>
      <c r="C16" s="124"/>
      <c r="D16" s="125" t="s">
        <v>382</v>
      </c>
      <c r="E16" s="126" t="s">
        <v>383</v>
      </c>
      <c r="F16" s="51">
        <v>1050</v>
      </c>
      <c r="G16" s="51">
        <v>36</v>
      </c>
      <c r="H16" s="51">
        <f t="shared" si="0"/>
        <v>37800</v>
      </c>
      <c r="I16" s="51">
        <v>15000</v>
      </c>
      <c r="J16" s="51">
        <v>8500</v>
      </c>
      <c r="K16" s="51">
        <f t="shared" si="1"/>
        <v>44300</v>
      </c>
      <c r="L16" s="51"/>
      <c r="M16" s="51">
        <v>37500</v>
      </c>
      <c r="N16" s="51">
        <v>4500</v>
      </c>
      <c r="O16" s="51">
        <v>3100</v>
      </c>
      <c r="P16" s="51"/>
      <c r="Q16" s="56">
        <f t="shared" si="2"/>
        <v>1.1813333333333333</v>
      </c>
      <c r="R16" s="56">
        <f t="shared" si="3"/>
        <v>9.844444444444445</v>
      </c>
      <c r="S16" s="56">
        <f t="shared" si="4"/>
        <v>12.193548387096774</v>
      </c>
    </row>
    <row r="17" spans="1:19" ht="15" customHeight="1" x14ac:dyDescent="0.35">
      <c r="A17" s="124"/>
      <c r="B17" s="124"/>
      <c r="C17" s="124"/>
      <c r="D17" s="125" t="s">
        <v>384</v>
      </c>
      <c r="E17" s="126" t="s">
        <v>385</v>
      </c>
      <c r="F17" s="51">
        <v>1820</v>
      </c>
      <c r="G17" s="51">
        <v>78</v>
      </c>
      <c r="H17" s="51">
        <f t="shared" si="0"/>
        <v>141960</v>
      </c>
      <c r="I17" s="51">
        <v>0</v>
      </c>
      <c r="J17" s="51">
        <v>11500</v>
      </c>
      <c r="K17" s="51">
        <f t="shared" si="1"/>
        <v>130460</v>
      </c>
      <c r="L17" s="51"/>
      <c r="M17" s="51">
        <v>24000</v>
      </c>
      <c r="N17" s="51">
        <v>5100</v>
      </c>
      <c r="O17" s="51">
        <v>3950</v>
      </c>
      <c r="P17" s="51"/>
      <c r="Q17" s="56">
        <f t="shared" si="2"/>
        <v>5.4358333333333331</v>
      </c>
      <c r="R17" s="56">
        <f t="shared" si="3"/>
        <v>25.580392156862747</v>
      </c>
      <c r="S17" s="56">
        <f t="shared" si="4"/>
        <v>35.939240506329114</v>
      </c>
    </row>
    <row r="18" spans="1:19" ht="15" customHeight="1" x14ac:dyDescent="0.35">
      <c r="A18" s="124"/>
      <c r="B18" s="124"/>
      <c r="C18" s="124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15" customHeight="1" x14ac:dyDescent="0.35">
      <c r="A19" s="124"/>
      <c r="B19" s="124"/>
      <c r="C19" s="124"/>
      <c r="D19" s="128" t="s">
        <v>246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>
        <f>AVERAGE(Q8:Q17)</f>
        <v>4.5017680950559216</v>
      </c>
      <c r="R19" s="129">
        <f>AVERAGE(R8:R17)</f>
        <v>24.00405706595804</v>
      </c>
      <c r="S19" s="129">
        <f>AVERAGE(S8:S17)</f>
        <v>33.951218746878887</v>
      </c>
    </row>
    <row r="20" spans="1:19" ht="15" customHeight="1" x14ac:dyDescent="0.35">
      <c r="A20" s="124"/>
      <c r="B20" s="124"/>
      <c r="C20" s="124"/>
      <c r="D20" s="128" t="s">
        <v>386</v>
      </c>
      <c r="E20" s="128"/>
      <c r="F20" s="128"/>
      <c r="G20" s="128"/>
      <c r="H20" s="128"/>
      <c r="I20" s="130"/>
      <c r="J20" s="130"/>
      <c r="K20" s="130"/>
      <c r="L20" s="130"/>
      <c r="M20" s="130"/>
      <c r="N20" s="130"/>
      <c r="O20" s="130"/>
      <c r="P20" s="130"/>
      <c r="Q20" s="129">
        <f>MEDIAN(Q8:Q17)</f>
        <v>3.9021216692547216</v>
      </c>
      <c r="R20" s="129">
        <f>MEDIAN(R8:R17)</f>
        <v>22.358823529411765</v>
      </c>
      <c r="S20" s="129">
        <f>MEDIAN(S8:S17)</f>
        <v>30.370246608259713</v>
      </c>
    </row>
    <row r="21" spans="1:19" ht="15" customHeight="1" x14ac:dyDescent="0.35">
      <c r="A21" s="124"/>
      <c r="B21" s="124"/>
      <c r="C21" s="124"/>
      <c r="D21" s="127"/>
      <c r="E21" s="127"/>
      <c r="F21" s="127"/>
      <c r="G21" s="127"/>
      <c r="H21" s="127"/>
      <c r="I21" s="131"/>
      <c r="J21" s="131"/>
      <c r="K21" s="131"/>
      <c r="L21" s="131"/>
      <c r="M21" s="131"/>
      <c r="N21" s="132"/>
      <c r="O21" s="132"/>
      <c r="P21" s="132"/>
      <c r="Q21" s="132"/>
      <c r="R21" s="132"/>
      <c r="S21" s="132"/>
    </row>
    <row r="22" spans="1:19" ht="15" customHeight="1" x14ac:dyDescent="0.35">
      <c r="A22" s="123"/>
      <c r="B22" s="123"/>
      <c r="C22" s="123"/>
      <c r="D22" s="133" t="s">
        <v>387</v>
      </c>
      <c r="E22" s="134" t="s">
        <v>388</v>
      </c>
      <c r="F22" s="135">
        <v>972</v>
      </c>
      <c r="G22" s="51">
        <v>174</v>
      </c>
      <c r="H22" s="135">
        <v>16912.8</v>
      </c>
      <c r="I22" s="51">
        <v>42</v>
      </c>
      <c r="J22" s="51">
        <v>18340</v>
      </c>
      <c r="K22" s="136">
        <v>-1385.2</v>
      </c>
      <c r="L22" s="51"/>
      <c r="M22" s="51">
        <v>26957</v>
      </c>
      <c r="N22" s="51">
        <v>3714</v>
      </c>
      <c r="O22" s="51">
        <v>2559</v>
      </c>
      <c r="P22" s="51"/>
      <c r="Q22" s="137" t="str">
        <f>IF(K22&gt;0,H22/K22,"N/M")</f>
        <v>N/M</v>
      </c>
      <c r="R22" s="137" t="str">
        <f>IF(AND(N22&gt;0,K22&gt;0),K22/N22,"N/M")</f>
        <v>N/M</v>
      </c>
      <c r="S22" s="129">
        <f>IF(O22&gt;0,H22/O22,"N/M")</f>
        <v>6.6091441969519344</v>
      </c>
    </row>
    <row r="23" spans="1:19" ht="20.25" customHeight="1" x14ac:dyDescent="0.4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spans="1:19" s="58" customFormat="1" ht="18" customHeight="1" outlineLevel="1" x14ac:dyDescent="0.45">
      <c r="A24" s="79"/>
      <c r="B24" s="53"/>
      <c r="C24" s="79"/>
      <c r="D24" s="138" t="s">
        <v>389</v>
      </c>
      <c r="E24" s="139" t="s">
        <v>390</v>
      </c>
      <c r="F24" s="140" t="s">
        <v>391</v>
      </c>
      <c r="G24" s="139" t="s">
        <v>356</v>
      </c>
      <c r="H24" s="141" t="s">
        <v>392</v>
      </c>
      <c r="I24" s="141" t="s">
        <v>393</v>
      </c>
      <c r="J24" s="139" t="s">
        <v>394</v>
      </c>
      <c r="K24" s="139" t="s">
        <v>395</v>
      </c>
      <c r="L24" s="79"/>
      <c r="M24" s="142"/>
      <c r="N24" s="142"/>
      <c r="O24" s="142"/>
      <c r="P24" s="142"/>
      <c r="Q24" s="142"/>
    </row>
    <row r="25" spans="1:19" s="58" customFormat="1" ht="18" customHeight="1" outlineLevel="1" x14ac:dyDescent="0.45">
      <c r="A25" s="79"/>
      <c r="B25" s="79"/>
      <c r="C25" s="79"/>
      <c r="D25" s="143"/>
      <c r="E25" s="144" t="s">
        <v>396</v>
      </c>
      <c r="F25" s="145"/>
      <c r="G25" s="82" t="s">
        <v>397</v>
      </c>
      <c r="H25" s="82" t="s">
        <v>397</v>
      </c>
      <c r="I25" s="82" t="s">
        <v>397</v>
      </c>
      <c r="J25" s="82" t="s">
        <v>398</v>
      </c>
      <c r="K25" s="82"/>
      <c r="L25" s="124"/>
      <c r="M25" s="146"/>
      <c r="N25" s="146"/>
      <c r="O25" s="146"/>
      <c r="P25" s="146"/>
      <c r="Q25" s="146"/>
    </row>
    <row r="26" spans="1:19" s="58" customFormat="1" ht="18" customHeight="1" outlineLevel="1" x14ac:dyDescent="0.45">
      <c r="A26" s="79"/>
      <c r="B26" s="79"/>
      <c r="C26" s="79"/>
      <c r="D26" s="57"/>
      <c r="M26" s="146"/>
    </row>
    <row r="27" spans="1:19" s="58" customFormat="1" ht="18" customHeight="1" outlineLevel="1" x14ac:dyDescent="0.45">
      <c r="A27" s="79"/>
      <c r="B27" s="79"/>
      <c r="C27" s="79"/>
      <c r="D27" s="57" t="s">
        <v>399</v>
      </c>
      <c r="E27" s="147">
        <v>4.7469849839194902</v>
      </c>
      <c r="F27" s="51">
        <f>M22</f>
        <v>26957</v>
      </c>
      <c r="G27" s="51">
        <f>F27*E27</f>
        <v>127964.47421151769</v>
      </c>
      <c r="H27" s="148">
        <v>-18298</v>
      </c>
      <c r="I27" s="136">
        <v>146262</v>
      </c>
      <c r="J27" s="51">
        <f>G22</f>
        <v>174</v>
      </c>
      <c r="K27" s="107">
        <f>I27/J27</f>
        <v>840.58620689655174</v>
      </c>
      <c r="L27" s="149"/>
      <c r="M27" s="149"/>
      <c r="N27" s="149"/>
      <c r="O27" s="149"/>
      <c r="P27" s="149"/>
      <c r="Q27" s="149"/>
    </row>
    <row r="28" spans="1:19" s="58" customFormat="1" ht="18" customHeight="1" outlineLevel="1" x14ac:dyDescent="0.45">
      <c r="A28" s="79"/>
      <c r="B28" s="53"/>
      <c r="C28" s="79"/>
      <c r="D28" s="79" t="s">
        <v>245</v>
      </c>
      <c r="E28" s="147">
        <v>25.308726775922601</v>
      </c>
      <c r="F28" s="51">
        <f>N22</f>
        <v>3714</v>
      </c>
      <c r="G28" s="51">
        <f>E28*F28</f>
        <v>93996.611245776541</v>
      </c>
      <c r="H28" s="148">
        <v>-18298</v>
      </c>
      <c r="I28" s="136">
        <v>112295</v>
      </c>
      <c r="J28" s="51">
        <f>G22</f>
        <v>174</v>
      </c>
      <c r="K28" s="107">
        <f t="shared" ref="K28:K29" si="5">I28/J28</f>
        <v>645.37356321839081</v>
      </c>
      <c r="L28" s="124"/>
      <c r="M28" s="150"/>
      <c r="N28" s="150"/>
      <c r="O28" s="150"/>
      <c r="P28" s="150"/>
      <c r="Q28" s="150"/>
    </row>
    <row r="29" spans="1:19" s="58" customFormat="1" ht="18" customHeight="1" outlineLevel="1" x14ac:dyDescent="0.45">
      <c r="A29" s="79"/>
      <c r="B29" s="79"/>
      <c r="C29" s="79"/>
      <c r="D29" s="79" t="s">
        <v>361</v>
      </c>
      <c r="E29" s="147">
        <v>35.703225257761503</v>
      </c>
      <c r="F29" s="51">
        <f>O22</f>
        <v>2559</v>
      </c>
      <c r="G29" s="107">
        <f>I29+-H29</f>
        <v>109655</v>
      </c>
      <c r="H29" s="148">
        <v>-18298</v>
      </c>
      <c r="I29" s="136">
        <v>91357</v>
      </c>
      <c r="J29" s="51">
        <f>J28</f>
        <v>174</v>
      </c>
      <c r="K29" s="107">
        <f t="shared" si="5"/>
        <v>525.04022988505744</v>
      </c>
      <c r="L29" s="124"/>
      <c r="M29" s="146"/>
      <c r="N29" s="146"/>
      <c r="O29" s="146"/>
      <c r="P29" s="146"/>
      <c r="Q29" s="146"/>
    </row>
    <row r="30" spans="1:19" s="58" customFormat="1" ht="18" customHeight="1" outlineLevel="1" x14ac:dyDescent="0.45">
      <c r="A30" s="79"/>
      <c r="B30" s="79"/>
      <c r="C30" s="79"/>
      <c r="D30" s="151" t="s">
        <v>400</v>
      </c>
      <c r="E30" s="152"/>
      <c r="F30" s="153"/>
      <c r="G30" s="153"/>
      <c r="H30" s="153"/>
      <c r="I30" s="153"/>
      <c r="J30" s="153"/>
      <c r="K30" s="154">
        <v>972</v>
      </c>
      <c r="L30" s="124"/>
      <c r="M30" s="146"/>
      <c r="N30" s="146"/>
      <c r="O30" s="146"/>
      <c r="P30" s="146"/>
      <c r="Q30" s="146"/>
    </row>
    <row r="31" spans="1:19" s="58" customFormat="1" ht="18" customHeight="1" outlineLevel="1" x14ac:dyDescent="0.45">
      <c r="A31" s="79"/>
      <c r="B31" s="79"/>
      <c r="C31" s="79"/>
      <c r="D31" s="53"/>
      <c r="E31" s="53"/>
      <c r="F31" s="155"/>
      <c r="G31" s="53"/>
      <c r="H31" s="149"/>
      <c r="I31" s="149"/>
      <c r="J31" s="149"/>
      <c r="K31" s="149"/>
      <c r="L31" s="149"/>
      <c r="M31" s="149"/>
      <c r="N31" s="149"/>
      <c r="O31" s="149"/>
      <c r="P31" s="149"/>
      <c r="Q31" s="149"/>
    </row>
    <row r="32" spans="1:19" s="58" customFormat="1" ht="18" customHeight="1" outlineLevel="1" x14ac:dyDescent="0.45">
      <c r="A32" s="79"/>
      <c r="B32" s="79"/>
      <c r="C32" s="79"/>
      <c r="D32" s="79"/>
      <c r="E32" s="79"/>
      <c r="F32" s="156"/>
      <c r="G32" s="79"/>
      <c r="H32" s="124"/>
      <c r="I32" s="124"/>
      <c r="J32" s="124"/>
      <c r="K32" s="124"/>
      <c r="L32" s="124"/>
      <c r="M32" s="146"/>
      <c r="N32" s="146"/>
      <c r="O32" s="146"/>
      <c r="P32" s="146"/>
      <c r="Q32" s="146"/>
    </row>
    <row r="33" spans="1:17" s="58" customFormat="1" ht="18" customHeight="1" outlineLevel="1" x14ac:dyDescent="0.45">
      <c r="A33" s="79"/>
      <c r="B33" s="79"/>
      <c r="C33" s="79"/>
      <c r="D33" s="53"/>
      <c r="E33" s="53"/>
      <c r="F33" s="155"/>
      <c r="G33" s="53"/>
      <c r="H33" s="149"/>
      <c r="I33" s="149"/>
      <c r="J33" s="149"/>
      <c r="K33" s="149"/>
      <c r="L33" s="149"/>
      <c r="M33" s="149"/>
      <c r="N33" s="149"/>
      <c r="O33" s="149"/>
      <c r="P33" s="149"/>
      <c r="Q33" s="149"/>
    </row>
    <row r="34" spans="1:17" s="58" customFormat="1" ht="18" customHeight="1" outlineLevel="1" x14ac:dyDescent="0.45">
      <c r="A34" s="79"/>
      <c r="B34" s="79"/>
      <c r="C34" s="79"/>
      <c r="D34" s="79"/>
      <c r="E34" s="79"/>
      <c r="F34" s="156"/>
      <c r="G34" s="79"/>
      <c r="H34" s="124"/>
      <c r="I34" s="124"/>
      <c r="J34" s="124"/>
      <c r="K34" s="124"/>
      <c r="L34" s="124"/>
      <c r="M34" s="146"/>
      <c r="N34" s="146"/>
      <c r="O34" s="146"/>
      <c r="P34" s="146"/>
      <c r="Q34" s="146"/>
    </row>
    <row r="35" spans="1:17" s="58" customFormat="1" ht="18" customHeight="1" outlineLevel="1" x14ac:dyDescent="0.45">
      <c r="A35" s="79"/>
      <c r="B35" s="79"/>
      <c r="C35" s="79"/>
      <c r="D35" s="79"/>
      <c r="E35" s="79"/>
      <c r="F35" s="156"/>
      <c r="G35" s="79"/>
      <c r="H35" s="124"/>
      <c r="I35" s="124"/>
      <c r="J35" s="124"/>
      <c r="K35" s="124"/>
      <c r="L35" s="124"/>
      <c r="M35" s="146"/>
      <c r="N35" s="146"/>
      <c r="O35" s="146"/>
      <c r="P35" s="146"/>
      <c r="Q35" s="146"/>
    </row>
    <row r="36" spans="1:17" s="58" customFormat="1" ht="18" customHeight="1" outlineLevel="1" x14ac:dyDescent="0.45">
      <c r="A36" s="79"/>
      <c r="B36" s="79"/>
      <c r="C36" s="79"/>
      <c r="D36" s="53"/>
      <c r="E36" s="53"/>
      <c r="F36" s="155"/>
      <c r="G36" s="53"/>
      <c r="H36" s="149"/>
      <c r="I36" s="149"/>
      <c r="J36" s="149"/>
      <c r="K36" s="149"/>
      <c r="L36" s="149"/>
      <c r="M36" s="149"/>
      <c r="N36" s="149"/>
      <c r="O36" s="149"/>
      <c r="P36" s="149"/>
      <c r="Q36" s="149"/>
    </row>
    <row r="37" spans="1:17" s="58" customFormat="1" ht="18" customHeight="1" outlineLevel="1" x14ac:dyDescent="0.45">
      <c r="A37" s="79"/>
      <c r="B37" s="79"/>
      <c r="C37" s="79"/>
      <c r="D37" s="79"/>
      <c r="E37" s="79"/>
      <c r="F37" s="156"/>
      <c r="G37" s="79"/>
      <c r="H37" s="124"/>
      <c r="I37" s="124"/>
      <c r="J37" s="124"/>
      <c r="K37" s="124"/>
      <c r="L37" s="124"/>
      <c r="M37" s="146"/>
      <c r="N37" s="146"/>
      <c r="O37" s="146"/>
      <c r="P37" s="146"/>
      <c r="Q37" s="146"/>
    </row>
    <row r="38" spans="1:17" s="58" customFormat="1" ht="18" customHeight="1" outlineLevel="1" x14ac:dyDescent="0.45">
      <c r="A38" s="79"/>
      <c r="B38" s="79"/>
      <c r="C38" s="79"/>
      <c r="D38" s="53"/>
      <c r="E38" s="53"/>
      <c r="F38" s="155"/>
      <c r="G38" s="53"/>
      <c r="H38" s="149"/>
      <c r="I38" s="149"/>
      <c r="J38" s="149"/>
      <c r="K38" s="149"/>
      <c r="L38" s="149"/>
      <c r="M38" s="149"/>
      <c r="N38" s="149"/>
      <c r="O38" s="149"/>
      <c r="P38" s="149"/>
      <c r="Q38" s="149"/>
    </row>
    <row r="39" spans="1:17" s="58" customFormat="1" ht="18" customHeight="1" outlineLevel="1" x14ac:dyDescent="0.45">
      <c r="A39" s="142"/>
      <c r="B39" s="142"/>
      <c r="C39" s="142"/>
      <c r="D39" s="142"/>
      <c r="E39" s="142"/>
      <c r="F39" s="142"/>
      <c r="G39" s="142"/>
      <c r="H39" s="157"/>
      <c r="I39" s="157"/>
      <c r="J39" s="157"/>
      <c r="K39" s="157"/>
      <c r="L39" s="157"/>
      <c r="M39" s="150"/>
      <c r="N39" s="150"/>
      <c r="O39" s="150"/>
      <c r="P39" s="150"/>
      <c r="Q39" s="150"/>
    </row>
    <row r="40" spans="1:17" s="58" customFormat="1" ht="18" customHeight="1" x14ac:dyDescent="0.45">
      <c r="A40" s="142"/>
      <c r="B40" s="142"/>
      <c r="C40" s="142"/>
      <c r="D40" s="142"/>
      <c r="E40" s="142"/>
      <c r="F40" s="142"/>
      <c r="G40" s="142"/>
      <c r="H40" s="157"/>
      <c r="I40" s="157"/>
      <c r="J40" s="157"/>
      <c r="K40" s="157"/>
      <c r="L40" s="157"/>
      <c r="M40" s="150"/>
      <c r="N40" s="150"/>
      <c r="O40" s="150"/>
      <c r="P40" s="150"/>
      <c r="Q40" s="150"/>
    </row>
    <row r="41" spans="1:17" s="58" customFormat="1" ht="20.25" customHeight="1" x14ac:dyDescent="0.4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1:17" s="58" customFormat="1" ht="18" customHeight="1" x14ac:dyDescent="0.45">
      <c r="A42" s="142"/>
      <c r="B42" s="142"/>
      <c r="C42" s="142"/>
      <c r="D42" s="142"/>
      <c r="E42" s="142"/>
      <c r="F42" s="142"/>
      <c r="G42" s="142"/>
      <c r="H42" s="157"/>
      <c r="I42" s="157"/>
      <c r="J42" s="157"/>
      <c r="K42" s="157"/>
      <c r="L42" s="157"/>
      <c r="M42" s="150"/>
      <c r="N42" s="150"/>
      <c r="O42" s="150"/>
      <c r="P42" s="150"/>
      <c r="Q42" s="150"/>
    </row>
    <row r="43" spans="1:17" s="58" customFormat="1" ht="18" customHeight="1" outlineLevel="1" x14ac:dyDescent="0.45">
      <c r="A43" s="79"/>
      <c r="B43" s="53"/>
      <c r="C43" s="79"/>
      <c r="D43" s="79"/>
      <c r="E43" s="79"/>
      <c r="F43" s="156"/>
      <c r="G43" s="79"/>
      <c r="H43" s="124"/>
      <c r="I43" s="124"/>
      <c r="J43" s="124"/>
      <c r="K43" s="124"/>
      <c r="L43" s="124"/>
      <c r="M43" s="150"/>
      <c r="N43" s="150"/>
      <c r="O43" s="150"/>
      <c r="P43" s="150"/>
      <c r="Q43" s="150"/>
    </row>
    <row r="44" spans="1:17" s="58" customFormat="1" ht="18" customHeight="1" outlineLevel="1" x14ac:dyDescent="0.45">
      <c r="A44" s="79"/>
      <c r="B44" s="79"/>
      <c r="C44" s="53"/>
      <c r="D44" s="79"/>
      <c r="E44" s="79"/>
      <c r="F44" s="79"/>
      <c r="G44" s="79"/>
      <c r="H44" s="124"/>
      <c r="I44" s="124"/>
      <c r="J44" s="124"/>
      <c r="K44" s="124"/>
      <c r="L44" s="124"/>
      <c r="M44" s="150"/>
      <c r="N44" s="150"/>
      <c r="O44" s="150"/>
      <c r="P44" s="150"/>
      <c r="Q44" s="150"/>
    </row>
    <row r="45" spans="1:17" s="58" customFormat="1" ht="18" customHeight="1" outlineLevel="1" x14ac:dyDescent="0.45">
      <c r="A45" s="79"/>
      <c r="B45" s="79"/>
      <c r="C45" s="79"/>
      <c r="D45" s="79"/>
      <c r="E45" s="79"/>
      <c r="F45" s="156"/>
      <c r="G45" s="79"/>
      <c r="H45" s="124"/>
      <c r="I45" s="124"/>
      <c r="J45" s="124"/>
      <c r="K45" s="124"/>
      <c r="L45" s="124"/>
      <c r="M45" s="146"/>
      <c r="N45" s="146"/>
      <c r="O45" s="146"/>
      <c r="P45" s="146"/>
      <c r="Q45" s="146"/>
    </row>
    <row r="46" spans="1:17" s="58" customFormat="1" ht="18" customHeight="1" outlineLevel="1" x14ac:dyDescent="0.45">
      <c r="A46" s="79"/>
      <c r="B46" s="79"/>
      <c r="C46" s="79"/>
      <c r="D46" s="79"/>
      <c r="E46" s="79"/>
      <c r="F46" s="156"/>
      <c r="G46" s="79"/>
      <c r="H46" s="124"/>
      <c r="I46" s="124"/>
      <c r="J46" s="124"/>
      <c r="K46" s="124"/>
      <c r="L46" s="124"/>
      <c r="M46" s="124"/>
      <c r="N46" s="124"/>
      <c r="O46" s="124"/>
      <c r="P46" s="124"/>
      <c r="Q46" s="124"/>
    </row>
    <row r="47" spans="1:17" s="58" customFormat="1" ht="18" customHeight="1" outlineLevel="1" x14ac:dyDescent="0.45">
      <c r="A47" s="79"/>
      <c r="B47" s="79"/>
      <c r="C47" s="79"/>
      <c r="D47" s="79"/>
      <c r="E47" s="79"/>
      <c r="F47" s="156"/>
      <c r="G47" s="79"/>
      <c r="H47" s="124"/>
      <c r="I47" s="124"/>
      <c r="J47" s="124"/>
      <c r="K47" s="124"/>
      <c r="L47" s="124"/>
      <c r="M47" s="146"/>
      <c r="N47" s="146"/>
      <c r="O47" s="146"/>
      <c r="P47" s="146"/>
      <c r="Q47" s="146"/>
    </row>
    <row r="48" spans="1:17" s="58" customFormat="1" ht="18" customHeight="1" outlineLevel="1" x14ac:dyDescent="0.45">
      <c r="A48" s="79"/>
      <c r="B48" s="79"/>
      <c r="C48" s="79"/>
      <c r="D48" s="79"/>
      <c r="E48" s="79"/>
      <c r="F48" s="156"/>
      <c r="G48" s="79"/>
      <c r="H48" s="124"/>
      <c r="I48" s="124"/>
      <c r="J48" s="124"/>
      <c r="K48" s="124"/>
      <c r="L48" s="124"/>
      <c r="M48" s="146"/>
      <c r="N48" s="146"/>
      <c r="O48" s="146"/>
      <c r="P48" s="146"/>
      <c r="Q48" s="146"/>
    </row>
    <row r="49" spans="1:17" s="58" customFormat="1" ht="18" customHeight="1" outlineLevel="1" x14ac:dyDescent="0.45">
      <c r="A49" s="79"/>
      <c r="B49" s="79"/>
      <c r="C49" s="79"/>
      <c r="D49" s="79"/>
      <c r="E49" s="79"/>
      <c r="F49" s="156"/>
      <c r="G49" s="79"/>
      <c r="H49" s="124"/>
      <c r="I49" s="124"/>
      <c r="J49" s="124"/>
      <c r="K49" s="124"/>
      <c r="L49" s="124"/>
      <c r="M49" s="146"/>
      <c r="N49" s="146"/>
      <c r="O49" s="146"/>
      <c r="P49" s="146"/>
      <c r="Q49" s="146"/>
    </row>
    <row r="50" spans="1:17" s="58" customFormat="1" ht="18" customHeight="1" outlineLevel="1" x14ac:dyDescent="0.45">
      <c r="A50" s="79"/>
      <c r="B50" s="79"/>
      <c r="C50" s="79"/>
      <c r="D50" s="79"/>
      <c r="E50" s="79"/>
      <c r="F50" s="156"/>
      <c r="G50" s="79"/>
      <c r="H50" s="124"/>
      <c r="I50" s="124"/>
      <c r="J50" s="124"/>
      <c r="K50" s="124"/>
      <c r="L50" s="124"/>
      <c r="M50" s="146"/>
      <c r="N50" s="146"/>
      <c r="O50" s="146"/>
      <c r="P50" s="146"/>
      <c r="Q50" s="146"/>
    </row>
    <row r="51" spans="1:17" s="58" customFormat="1" ht="18" customHeight="1" outlineLevel="1" x14ac:dyDescent="0.45">
      <c r="A51" s="79"/>
      <c r="B51" s="79"/>
      <c r="C51" s="53"/>
      <c r="D51" s="79"/>
      <c r="E51" s="79"/>
      <c r="F51" s="156"/>
      <c r="G51" s="79"/>
      <c r="H51" s="124"/>
      <c r="I51" s="124"/>
      <c r="J51" s="124"/>
      <c r="K51" s="124"/>
      <c r="L51" s="124"/>
      <c r="M51" s="146"/>
      <c r="N51" s="146"/>
      <c r="O51" s="146"/>
      <c r="P51" s="146"/>
      <c r="Q51" s="146"/>
    </row>
    <row r="52" spans="1:17" s="58" customFormat="1" ht="18" customHeight="1" outlineLevel="1" x14ac:dyDescent="0.45">
      <c r="A52" s="79"/>
      <c r="B52" s="79"/>
      <c r="C52" s="79"/>
      <c r="D52" s="79"/>
      <c r="E52" s="79"/>
      <c r="F52" s="156"/>
      <c r="G52" s="79"/>
      <c r="H52" s="124"/>
      <c r="I52" s="124"/>
      <c r="J52" s="124"/>
      <c r="K52" s="124"/>
      <c r="L52" s="124"/>
      <c r="M52" s="146"/>
      <c r="N52" s="146"/>
      <c r="O52" s="146"/>
      <c r="P52" s="146"/>
      <c r="Q52" s="146"/>
    </row>
    <row r="53" spans="1:17" s="58" customFormat="1" ht="18" customHeight="1" outlineLevel="1" x14ac:dyDescent="0.45">
      <c r="A53" s="79"/>
      <c r="B53" s="79"/>
      <c r="C53" s="79"/>
      <c r="D53" s="79"/>
      <c r="E53" s="79"/>
      <c r="F53" s="156"/>
      <c r="G53" s="79"/>
      <c r="H53" s="124"/>
      <c r="I53" s="124"/>
      <c r="J53" s="124"/>
      <c r="K53" s="124"/>
      <c r="L53" s="124"/>
      <c r="M53" s="124"/>
      <c r="N53" s="124"/>
      <c r="O53" s="124"/>
      <c r="P53" s="124"/>
      <c r="Q53" s="124"/>
    </row>
    <row r="54" spans="1:17" s="58" customFormat="1" ht="18" customHeight="1" outlineLevel="1" x14ac:dyDescent="0.45">
      <c r="A54" s="79"/>
      <c r="B54" s="79"/>
      <c r="C54" s="79"/>
      <c r="D54" s="79"/>
      <c r="E54" s="79"/>
      <c r="F54" s="156"/>
      <c r="G54" s="79"/>
      <c r="H54" s="124"/>
      <c r="I54" s="124"/>
      <c r="J54" s="124"/>
      <c r="K54" s="124"/>
      <c r="L54" s="124"/>
      <c r="M54" s="146"/>
      <c r="N54" s="146"/>
      <c r="O54" s="146"/>
      <c r="P54" s="146"/>
      <c r="Q54" s="146"/>
    </row>
    <row r="55" spans="1:17" s="58" customFormat="1" ht="18" customHeight="1" outlineLevel="1" x14ac:dyDescent="0.45">
      <c r="A55" s="79"/>
      <c r="B55" s="79"/>
      <c r="C55" s="79"/>
      <c r="D55" s="79"/>
      <c r="E55" s="79"/>
      <c r="F55" s="156"/>
      <c r="G55" s="79"/>
      <c r="H55" s="124"/>
      <c r="I55" s="124"/>
      <c r="J55" s="124"/>
      <c r="K55" s="124"/>
      <c r="L55" s="124"/>
      <c r="M55" s="146"/>
      <c r="N55" s="146"/>
      <c r="O55" s="146"/>
      <c r="P55" s="146"/>
      <c r="Q55" s="146"/>
    </row>
    <row r="56" spans="1:17" s="58" customFormat="1" ht="18.75" customHeight="1" outlineLevel="1" x14ac:dyDescent="0.45">
      <c r="A56" s="79"/>
      <c r="B56" s="79"/>
      <c r="C56" s="79"/>
      <c r="D56" s="53"/>
      <c r="E56" s="53"/>
      <c r="F56" s="155"/>
      <c r="G56" s="53"/>
      <c r="H56" s="149"/>
      <c r="I56" s="149"/>
      <c r="J56" s="149"/>
      <c r="K56" s="149"/>
      <c r="L56" s="149"/>
      <c r="M56" s="149"/>
      <c r="N56" s="149"/>
      <c r="O56" s="149"/>
      <c r="P56" s="149"/>
      <c r="Q56" s="149"/>
    </row>
    <row r="57" spans="1:17" s="58" customFormat="1" ht="18.75" customHeight="1" outlineLevel="1" x14ac:dyDescent="0.45">
      <c r="A57" s="79"/>
      <c r="B57" s="79"/>
      <c r="C57" s="79"/>
      <c r="D57" s="79"/>
      <c r="E57" s="79"/>
      <c r="F57" s="142"/>
      <c r="G57" s="79"/>
      <c r="H57" s="80"/>
      <c r="I57" s="80"/>
      <c r="J57" s="80"/>
      <c r="K57" s="80"/>
      <c r="L57" s="80"/>
      <c r="M57" s="146"/>
      <c r="N57" s="146"/>
      <c r="O57" s="146"/>
      <c r="P57" s="146"/>
      <c r="Q57" s="146"/>
    </row>
    <row r="58" spans="1:17" s="58" customFormat="1" ht="18" customHeight="1" outlineLevel="1" x14ac:dyDescent="0.45">
      <c r="A58" s="79"/>
      <c r="B58" s="53"/>
      <c r="C58" s="79"/>
      <c r="D58" s="79"/>
      <c r="E58" s="79"/>
      <c r="F58" s="79"/>
      <c r="G58" s="79"/>
      <c r="H58" s="80"/>
      <c r="I58" s="80"/>
      <c r="J58" s="80"/>
      <c r="K58" s="80"/>
      <c r="L58" s="80"/>
      <c r="M58" s="146"/>
      <c r="N58" s="146"/>
      <c r="O58" s="146"/>
      <c r="P58" s="146"/>
      <c r="Q58" s="146"/>
    </row>
    <row r="59" spans="1:17" s="58" customFormat="1" ht="18" customHeight="1" outlineLevel="1" x14ac:dyDescent="0.45">
      <c r="A59" s="79"/>
      <c r="B59" s="79"/>
      <c r="C59" s="53"/>
      <c r="D59" s="79"/>
      <c r="E59" s="79"/>
      <c r="F59" s="79"/>
      <c r="G59" s="79"/>
      <c r="H59" s="80"/>
      <c r="I59" s="80"/>
      <c r="J59" s="80"/>
      <c r="K59" s="80"/>
      <c r="L59" s="80"/>
      <c r="M59" s="146"/>
      <c r="N59" s="146"/>
      <c r="O59" s="146"/>
      <c r="P59" s="146"/>
      <c r="Q59" s="146"/>
    </row>
    <row r="60" spans="1:17" s="58" customFormat="1" ht="18" customHeight="1" outlineLevel="1" x14ac:dyDescent="0.45">
      <c r="A60" s="79"/>
      <c r="B60" s="79"/>
      <c r="C60" s="79"/>
      <c r="D60" s="79"/>
      <c r="E60" s="79"/>
      <c r="F60" s="156"/>
      <c r="G60" s="79"/>
      <c r="H60" s="124"/>
      <c r="I60" s="124"/>
      <c r="J60" s="124"/>
      <c r="K60" s="124"/>
      <c r="L60" s="124"/>
      <c r="M60" s="146"/>
      <c r="N60" s="146"/>
      <c r="O60" s="146"/>
      <c r="P60" s="146"/>
      <c r="Q60" s="146"/>
    </row>
    <row r="61" spans="1:17" s="58" customFormat="1" ht="18" customHeight="1" outlineLevel="1" x14ac:dyDescent="0.45">
      <c r="A61" s="79"/>
      <c r="B61" s="79"/>
      <c r="C61" s="79"/>
      <c r="D61" s="79"/>
      <c r="E61" s="79"/>
      <c r="F61" s="156"/>
      <c r="G61" s="79"/>
      <c r="H61" s="124"/>
      <c r="I61" s="124"/>
      <c r="J61" s="124"/>
      <c r="K61" s="124"/>
      <c r="L61" s="124"/>
      <c r="M61" s="146"/>
      <c r="N61" s="146"/>
      <c r="O61" s="146"/>
      <c r="P61" s="146"/>
      <c r="Q61" s="146"/>
    </row>
    <row r="62" spans="1:17" s="58" customFormat="1" ht="18" customHeight="1" outlineLevel="1" x14ac:dyDescent="0.45">
      <c r="A62" s="79"/>
      <c r="B62" s="79"/>
      <c r="C62" s="79"/>
      <c r="D62" s="79"/>
      <c r="E62" s="79"/>
      <c r="F62" s="156"/>
      <c r="G62" s="79"/>
      <c r="H62" s="124"/>
      <c r="I62" s="124"/>
      <c r="J62" s="124"/>
      <c r="K62" s="124"/>
      <c r="L62" s="124"/>
      <c r="M62" s="146"/>
      <c r="N62" s="146"/>
      <c r="O62" s="146"/>
      <c r="P62" s="146"/>
      <c r="Q62" s="146"/>
    </row>
    <row r="63" spans="1:17" s="58" customFormat="1" ht="18" customHeight="1" outlineLevel="1" x14ac:dyDescent="0.45">
      <c r="A63" s="79"/>
      <c r="B63" s="79"/>
      <c r="C63" s="79"/>
      <c r="D63" s="79"/>
      <c r="E63" s="79"/>
      <c r="F63" s="156"/>
      <c r="G63" s="79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 spans="1:17" s="58" customFormat="1" ht="18" customHeight="1" outlineLevel="1" x14ac:dyDescent="0.45">
      <c r="A64" s="79"/>
      <c r="B64" s="79"/>
      <c r="C64" s="79"/>
      <c r="D64" s="79"/>
      <c r="E64" s="79"/>
      <c r="F64" s="156"/>
      <c r="G64" s="79"/>
      <c r="H64" s="124"/>
      <c r="I64" s="124"/>
      <c r="J64" s="124"/>
      <c r="K64" s="124"/>
      <c r="L64" s="124"/>
      <c r="M64" s="146"/>
      <c r="N64" s="146"/>
      <c r="O64" s="146"/>
      <c r="P64" s="146"/>
      <c r="Q64" s="146"/>
    </row>
    <row r="65" spans="1:17" s="58" customFormat="1" ht="18" customHeight="1" outlineLevel="1" x14ac:dyDescent="0.45">
      <c r="A65" s="79"/>
      <c r="B65" s="79"/>
      <c r="C65" s="79"/>
      <c r="D65" s="53"/>
      <c r="E65" s="53"/>
      <c r="F65" s="155"/>
      <c r="G65" s="53"/>
      <c r="H65" s="149"/>
      <c r="I65" s="149"/>
      <c r="J65" s="149"/>
      <c r="K65" s="149"/>
      <c r="L65" s="149"/>
      <c r="M65" s="149"/>
      <c r="N65" s="149"/>
      <c r="O65" s="149"/>
      <c r="P65" s="149"/>
      <c r="Q65" s="149"/>
    </row>
    <row r="66" spans="1:17" s="58" customFormat="1" ht="18" customHeight="1" outlineLevel="1" x14ac:dyDescent="0.45">
      <c r="A66" s="79"/>
      <c r="B66" s="79"/>
      <c r="C66" s="53"/>
      <c r="D66" s="79"/>
      <c r="E66" s="79"/>
      <c r="F66" s="156"/>
      <c r="G66" s="79"/>
      <c r="H66" s="80"/>
      <c r="I66" s="80"/>
      <c r="J66" s="80"/>
      <c r="K66" s="80"/>
      <c r="L66" s="80"/>
      <c r="M66" s="146"/>
      <c r="N66" s="146"/>
      <c r="O66" s="146"/>
      <c r="P66" s="146"/>
      <c r="Q66" s="146"/>
    </row>
    <row r="67" spans="1:17" s="58" customFormat="1" ht="18" customHeight="1" outlineLevel="1" x14ac:dyDescent="0.45">
      <c r="A67" s="79"/>
      <c r="B67" s="79"/>
      <c r="C67" s="79"/>
      <c r="D67" s="79"/>
      <c r="E67" s="79"/>
      <c r="F67" s="156"/>
      <c r="G67" s="79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 spans="1:17" s="58" customFormat="1" ht="18" customHeight="1" outlineLevel="1" x14ac:dyDescent="0.45">
      <c r="A68" s="79"/>
      <c r="B68" s="79"/>
      <c r="C68" s="79"/>
      <c r="D68" s="79"/>
      <c r="E68" s="79"/>
      <c r="F68" s="156"/>
      <c r="G68" s="79"/>
      <c r="H68" s="124"/>
      <c r="I68" s="124"/>
      <c r="J68" s="124"/>
      <c r="K68" s="124"/>
      <c r="L68" s="124"/>
      <c r="M68" s="146"/>
      <c r="N68" s="146"/>
      <c r="O68" s="146"/>
      <c r="P68" s="146"/>
      <c r="Q68" s="146"/>
    </row>
    <row r="69" spans="1:17" s="58" customFormat="1" ht="18" customHeight="1" outlineLevel="1" x14ac:dyDescent="0.45">
      <c r="A69" s="79"/>
      <c r="B69" s="79"/>
      <c r="C69" s="79"/>
      <c r="D69" s="53"/>
      <c r="E69" s="53"/>
      <c r="F69" s="155"/>
      <c r="G69" s="53"/>
      <c r="H69" s="149"/>
      <c r="I69" s="149"/>
      <c r="J69" s="149"/>
      <c r="K69" s="149"/>
      <c r="L69" s="149"/>
      <c r="M69" s="149"/>
      <c r="N69" s="149"/>
      <c r="O69" s="149"/>
      <c r="P69" s="149"/>
      <c r="Q69" s="149"/>
    </row>
    <row r="70" spans="1:17" s="58" customFormat="1" ht="18" customHeight="1" outlineLevel="1" x14ac:dyDescent="0.45">
      <c r="A70" s="79"/>
      <c r="B70" s="79"/>
      <c r="C70" s="79"/>
      <c r="D70" s="79"/>
      <c r="E70" s="79"/>
      <c r="F70" s="156"/>
      <c r="G70" s="79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 spans="1:17" s="58" customFormat="1" ht="18.75" customHeight="1" outlineLevel="1" x14ac:dyDescent="0.45">
      <c r="A71" s="79"/>
      <c r="B71" s="79"/>
      <c r="C71" s="79"/>
      <c r="D71" s="53"/>
      <c r="E71" s="53"/>
      <c r="F71" s="155"/>
      <c r="G71" s="53"/>
      <c r="H71" s="149"/>
      <c r="I71" s="149"/>
      <c r="J71" s="149"/>
      <c r="K71" s="149"/>
      <c r="L71" s="149"/>
      <c r="M71" s="149"/>
      <c r="N71" s="149"/>
      <c r="O71" s="149"/>
      <c r="P71" s="149"/>
      <c r="Q71" s="149"/>
    </row>
    <row r="72" spans="1:17" s="58" customFormat="1" ht="18.75" customHeight="1" outlineLevel="1" x14ac:dyDescent="0.45">
      <c r="A72" s="79"/>
      <c r="B72" s="79"/>
      <c r="C72" s="79"/>
      <c r="D72" s="79"/>
      <c r="E72" s="79"/>
      <c r="F72" s="79"/>
      <c r="G72" s="79"/>
      <c r="H72" s="124"/>
      <c r="I72" s="124"/>
      <c r="J72" s="124"/>
      <c r="K72" s="124"/>
      <c r="L72" s="124"/>
      <c r="M72" s="146"/>
      <c r="N72" s="146"/>
      <c r="O72" s="146"/>
      <c r="P72" s="146"/>
      <c r="Q72" s="146"/>
    </row>
    <row r="73" spans="1:17" s="58" customFormat="1" ht="18" customHeight="1" outlineLevel="1" x14ac:dyDescent="0.45">
      <c r="A73" s="79"/>
      <c r="B73" s="79"/>
      <c r="C73" s="79"/>
      <c r="D73" s="79"/>
      <c r="E73" s="79"/>
      <c r="F73" s="79"/>
      <c r="G73" s="79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 spans="1:17" s="58" customFormat="1" ht="18" customHeight="1" outlineLevel="1" x14ac:dyDescent="0.45">
      <c r="A74" s="79"/>
      <c r="B74" s="79"/>
      <c r="C74" s="79"/>
      <c r="D74" s="79"/>
      <c r="E74" s="79"/>
      <c r="F74" s="79"/>
      <c r="G74" s="79"/>
      <c r="H74" s="124"/>
      <c r="I74" s="124"/>
      <c r="J74" s="124"/>
      <c r="K74" s="124"/>
      <c r="L74" s="124"/>
      <c r="M74" s="150"/>
      <c r="N74" s="150"/>
      <c r="O74" s="150"/>
      <c r="P74" s="150"/>
      <c r="Q74" s="150"/>
    </row>
    <row r="75" spans="1:17" s="58" customFormat="1" ht="18" customHeight="1" x14ac:dyDescent="0.45">
      <c r="A75" s="79"/>
      <c r="B75" s="79"/>
      <c r="C75" s="79"/>
      <c r="D75" s="79"/>
      <c r="E75" s="79"/>
      <c r="F75" s="79"/>
      <c r="G75" s="79"/>
      <c r="H75" s="124"/>
      <c r="I75" s="124"/>
      <c r="J75" s="124"/>
      <c r="K75" s="124"/>
      <c r="L75" s="124"/>
      <c r="M75" s="150"/>
      <c r="N75" s="150"/>
      <c r="O75" s="150"/>
      <c r="P75" s="150"/>
      <c r="Q75" s="150"/>
    </row>
    <row r="76" spans="1:17" s="58" customFormat="1" ht="18" customHeight="1" x14ac:dyDescent="0.45">
      <c r="A76" s="79"/>
      <c r="B76" s="79"/>
      <c r="C76" s="79"/>
      <c r="D76" s="79"/>
      <c r="E76" s="79"/>
      <c r="F76" s="79"/>
      <c r="G76" s="79"/>
      <c r="H76" s="124"/>
      <c r="I76" s="124"/>
      <c r="J76" s="124"/>
      <c r="K76" s="124"/>
      <c r="L76" s="124"/>
      <c r="M76" s="150"/>
      <c r="N76" s="150"/>
      <c r="O76" s="150"/>
      <c r="P76" s="150"/>
      <c r="Q76" s="150"/>
    </row>
    <row r="77" spans="1:17" s="58" customFormat="1" ht="20.25" customHeight="1" x14ac:dyDescent="0.4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s="58" customFormat="1" ht="18" customHeight="1" x14ac:dyDescent="0.45">
      <c r="A78" s="79"/>
      <c r="B78" s="79"/>
      <c r="C78" s="79"/>
      <c r="D78" s="79"/>
      <c r="E78" s="79"/>
      <c r="F78" s="79"/>
      <c r="G78" s="79"/>
      <c r="H78" s="124"/>
      <c r="I78" s="124"/>
      <c r="J78" s="124"/>
      <c r="K78" s="124"/>
      <c r="L78" s="124"/>
      <c r="M78" s="150"/>
      <c r="N78" s="150"/>
      <c r="O78" s="150"/>
      <c r="P78" s="150"/>
      <c r="Q78" s="150"/>
    </row>
    <row r="79" spans="1:17" s="58" customFormat="1" ht="18" customHeight="1" outlineLevel="1" x14ac:dyDescent="0.45">
      <c r="A79" s="79"/>
      <c r="B79" s="79"/>
      <c r="C79" s="79"/>
      <c r="D79" s="79"/>
      <c r="E79" s="79"/>
      <c r="F79" s="79"/>
      <c r="G79" s="79"/>
      <c r="H79" s="124"/>
      <c r="I79" s="124"/>
      <c r="J79" s="124"/>
      <c r="K79" s="124"/>
      <c r="L79" s="124"/>
      <c r="M79" s="150"/>
      <c r="N79" s="150"/>
      <c r="O79" s="150"/>
      <c r="P79" s="150"/>
      <c r="Q79" s="150"/>
    </row>
    <row r="80" spans="1:17" s="58" customFormat="1" ht="18" customHeight="1" outlineLevel="1" x14ac:dyDescent="0.45">
      <c r="A80" s="79"/>
      <c r="B80" s="79"/>
      <c r="C80" s="79"/>
      <c r="D80" s="79"/>
      <c r="E80" s="79"/>
      <c r="F80" s="156"/>
      <c r="G80" s="79"/>
      <c r="H80" s="124"/>
      <c r="I80" s="124"/>
      <c r="J80" s="124"/>
      <c r="K80" s="124"/>
      <c r="L80" s="124"/>
      <c r="M80" s="146"/>
      <c r="N80" s="146"/>
      <c r="O80" s="146"/>
      <c r="P80" s="146"/>
      <c r="Q80" s="146"/>
    </row>
    <row r="81" spans="1:17" s="58" customFormat="1" ht="18" customHeight="1" outlineLevel="1" x14ac:dyDescent="0.45">
      <c r="A81" s="79"/>
      <c r="B81" s="79"/>
      <c r="C81" s="79"/>
      <c r="D81" s="79"/>
      <c r="E81" s="79"/>
      <c r="F81" s="156"/>
      <c r="G81" s="79"/>
      <c r="H81" s="124"/>
      <c r="I81" s="124"/>
      <c r="J81" s="124"/>
      <c r="K81" s="124"/>
      <c r="L81" s="124"/>
      <c r="M81" s="146"/>
      <c r="N81" s="146"/>
      <c r="O81" s="146"/>
      <c r="P81" s="146"/>
      <c r="Q81" s="146"/>
    </row>
    <row r="82" spans="1:17" s="58" customFormat="1" ht="18" customHeight="1" outlineLevel="1" x14ac:dyDescent="0.45">
      <c r="A82" s="79"/>
      <c r="B82" s="79"/>
      <c r="C82" s="79"/>
      <c r="D82" s="79"/>
      <c r="E82" s="79"/>
      <c r="F82" s="156"/>
      <c r="G82" s="79"/>
      <c r="H82" s="124"/>
      <c r="I82" s="124"/>
      <c r="J82" s="124"/>
      <c r="K82" s="124"/>
      <c r="L82" s="124"/>
      <c r="M82" s="146"/>
      <c r="N82" s="146"/>
      <c r="O82" s="146"/>
      <c r="P82" s="146"/>
      <c r="Q82" s="146"/>
    </row>
    <row r="83" spans="1:17" s="58" customFormat="1" ht="18" customHeight="1" outlineLevel="1" x14ac:dyDescent="0.45">
      <c r="A83" s="79"/>
      <c r="B83" s="79"/>
      <c r="C83" s="79"/>
      <c r="D83" s="79"/>
      <c r="E83" s="79"/>
      <c r="F83" s="156"/>
      <c r="G83" s="79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s="58" customFormat="1" ht="18" customHeight="1" outlineLevel="1" x14ac:dyDescent="0.45">
      <c r="A84" s="79"/>
      <c r="B84" s="79"/>
      <c r="C84" s="79"/>
      <c r="D84" s="25"/>
      <c r="E84" s="25"/>
      <c r="F84" s="158"/>
      <c r="G84" s="25"/>
      <c r="H84" s="159"/>
      <c r="I84" s="159"/>
      <c r="J84" s="159"/>
      <c r="K84" s="159"/>
      <c r="L84" s="159"/>
      <c r="M84" s="159"/>
      <c r="N84" s="159"/>
      <c r="O84" s="159"/>
      <c r="P84" s="159"/>
      <c r="Q84" s="159"/>
    </row>
    <row r="85" spans="1:17" s="58" customFormat="1" ht="18" customHeight="1" outlineLevel="1" x14ac:dyDescent="0.45">
      <c r="A85" s="79"/>
      <c r="B85" s="79"/>
      <c r="C85" s="79"/>
      <c r="D85" s="79"/>
      <c r="E85" s="79"/>
      <c r="F85" s="156"/>
      <c r="G85" s="79"/>
      <c r="H85" s="124"/>
      <c r="I85" s="124"/>
      <c r="J85" s="124"/>
      <c r="K85" s="124"/>
      <c r="L85" s="124"/>
      <c r="M85" s="146"/>
      <c r="N85" s="146"/>
      <c r="O85" s="146"/>
      <c r="P85" s="146"/>
      <c r="Q85" s="146"/>
    </row>
    <row r="86" spans="1:17" s="58" customFormat="1" ht="18" customHeight="1" outlineLevel="1" x14ac:dyDescent="0.45">
      <c r="A86" s="79"/>
      <c r="B86" s="79"/>
      <c r="C86" s="79"/>
      <c r="D86" s="79"/>
      <c r="E86" s="79"/>
      <c r="F86" s="156"/>
      <c r="G86" s="79"/>
      <c r="H86" s="124"/>
      <c r="I86" s="124"/>
      <c r="J86" s="124"/>
      <c r="K86" s="124"/>
      <c r="L86" s="124"/>
      <c r="M86" s="146"/>
      <c r="N86" s="146"/>
      <c r="O86" s="146"/>
      <c r="P86" s="146"/>
      <c r="Q86" s="146"/>
    </row>
    <row r="87" spans="1:17" s="58" customFormat="1" ht="18" customHeight="1" outlineLevel="1" x14ac:dyDescent="0.45">
      <c r="A87" s="79"/>
      <c r="B87" s="79"/>
      <c r="C87" s="79"/>
      <c r="D87" s="79"/>
      <c r="E87" s="79"/>
      <c r="F87" s="156"/>
      <c r="G87" s="79"/>
      <c r="H87" s="124"/>
      <c r="I87" s="124"/>
      <c r="J87" s="124"/>
      <c r="K87" s="124"/>
      <c r="L87" s="124"/>
      <c r="M87" s="146"/>
      <c r="N87" s="146"/>
      <c r="O87" s="146"/>
      <c r="P87" s="146"/>
      <c r="Q87" s="146"/>
    </row>
    <row r="88" spans="1:17" s="58" customFormat="1" ht="18" customHeight="1" outlineLevel="1" x14ac:dyDescent="0.45">
      <c r="A88" s="79"/>
      <c r="B88" s="79"/>
      <c r="C88" s="79"/>
      <c r="D88" s="79"/>
      <c r="E88" s="79"/>
      <c r="F88" s="156"/>
      <c r="G88" s="79"/>
      <c r="H88" s="124"/>
      <c r="I88" s="124"/>
      <c r="J88" s="124"/>
      <c r="K88" s="124"/>
      <c r="L88" s="124"/>
      <c r="M88" s="146"/>
      <c r="N88" s="146"/>
      <c r="O88" s="146"/>
      <c r="P88" s="146"/>
      <c r="Q88" s="146"/>
    </row>
    <row r="89" spans="1:17" s="58" customFormat="1" ht="18" customHeight="1" outlineLevel="1" x14ac:dyDescent="0.45">
      <c r="A89" s="79"/>
      <c r="B89" s="79"/>
      <c r="C89" s="79"/>
      <c r="D89" s="79"/>
      <c r="E89" s="79"/>
      <c r="F89" s="156"/>
      <c r="G89" s="79"/>
      <c r="H89" s="124"/>
      <c r="I89" s="124"/>
      <c r="J89" s="124"/>
      <c r="K89" s="124"/>
      <c r="L89" s="124"/>
      <c r="M89" s="146"/>
      <c r="N89" s="146"/>
      <c r="O89" s="146"/>
      <c r="P89" s="146"/>
      <c r="Q89" s="146"/>
    </row>
    <row r="90" spans="1:17" s="58" customFormat="1" ht="18" customHeight="1" outlineLevel="1" x14ac:dyDescent="0.45">
      <c r="A90" s="79"/>
      <c r="B90" s="79"/>
      <c r="C90" s="79"/>
      <c r="D90" s="123"/>
      <c r="E90" s="79"/>
      <c r="F90" s="156"/>
      <c r="G90" s="79"/>
      <c r="H90" s="124"/>
      <c r="I90" s="124"/>
      <c r="J90" s="124"/>
      <c r="K90" s="124"/>
      <c r="L90" s="124"/>
      <c r="M90" s="146"/>
      <c r="N90" s="146"/>
      <c r="O90" s="146"/>
      <c r="P90" s="146"/>
      <c r="Q90" s="146"/>
    </row>
    <row r="91" spans="1:17" s="58" customFormat="1" ht="18" customHeight="1" outlineLevel="1" x14ac:dyDescent="0.45">
      <c r="A91" s="79"/>
      <c r="B91" s="79"/>
      <c r="C91" s="79"/>
      <c r="D91" s="123"/>
      <c r="E91" s="79"/>
      <c r="F91" s="156"/>
      <c r="G91" s="79"/>
      <c r="H91" s="124"/>
      <c r="I91" s="124"/>
      <c r="J91" s="124"/>
      <c r="K91" s="124"/>
      <c r="L91" s="124"/>
      <c r="M91" s="146"/>
      <c r="N91" s="146"/>
      <c r="O91" s="146"/>
      <c r="P91" s="146"/>
      <c r="Q91" s="146"/>
    </row>
    <row r="92" spans="1:17" s="58" customFormat="1" ht="18" customHeight="1" outlineLevel="1" x14ac:dyDescent="0.45">
      <c r="A92" s="79"/>
      <c r="B92" s="79"/>
      <c r="C92" s="79"/>
      <c r="D92" s="123"/>
      <c r="E92" s="79"/>
      <c r="F92" s="156"/>
      <c r="G92" s="79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 spans="1:17" s="58" customFormat="1" ht="18" customHeight="1" outlineLevel="1" x14ac:dyDescent="0.45">
      <c r="A93" s="79"/>
      <c r="B93" s="79"/>
      <c r="C93" s="79"/>
      <c r="D93" s="25"/>
      <c r="E93" s="25"/>
      <c r="F93" s="158"/>
      <c r="G93" s="25"/>
      <c r="H93" s="159"/>
      <c r="I93" s="159"/>
      <c r="J93" s="159"/>
      <c r="K93" s="159"/>
      <c r="L93" s="159"/>
      <c r="M93" s="159"/>
      <c r="N93" s="159"/>
      <c r="O93" s="159"/>
      <c r="P93" s="159"/>
      <c r="Q93" s="159"/>
    </row>
    <row r="94" spans="1:17" s="58" customFormat="1" ht="18" customHeight="1" outlineLevel="1" x14ac:dyDescent="0.45">
      <c r="A94" s="79"/>
      <c r="B94" s="79"/>
      <c r="C94" s="79"/>
      <c r="D94" s="79"/>
      <c r="E94" s="79"/>
      <c r="F94" s="79"/>
      <c r="G94" s="79"/>
      <c r="H94" s="124"/>
      <c r="I94" s="124"/>
      <c r="J94" s="124"/>
      <c r="K94" s="124"/>
      <c r="L94" s="124"/>
      <c r="M94" s="146"/>
      <c r="N94" s="146"/>
      <c r="O94" s="146"/>
      <c r="P94" s="146"/>
      <c r="Q94" s="146"/>
    </row>
    <row r="95" spans="1:17" s="58" customFormat="1" ht="18" customHeight="1" outlineLevel="1" x14ac:dyDescent="0.45">
      <c r="A95" s="79"/>
      <c r="B95" s="79"/>
      <c r="C95" s="79"/>
      <c r="D95" s="79"/>
      <c r="E95" s="79"/>
      <c r="F95" s="79"/>
      <c r="G95" s="79"/>
      <c r="H95" s="124"/>
      <c r="I95" s="124"/>
      <c r="J95" s="124"/>
      <c r="K95" s="124"/>
      <c r="L95" s="124"/>
      <c r="M95" s="146"/>
      <c r="N95" s="146"/>
      <c r="O95" s="146"/>
      <c r="P95" s="146"/>
      <c r="Q95" s="146"/>
    </row>
    <row r="96" spans="1:17" s="58" customFormat="1" ht="18" customHeight="1" outlineLevel="1" x14ac:dyDescent="0.45">
      <c r="A96" s="79"/>
      <c r="B96" s="79"/>
      <c r="C96" s="79"/>
      <c r="D96" s="79"/>
      <c r="E96" s="79"/>
      <c r="F96" s="156"/>
      <c r="G96" s="79"/>
      <c r="H96" s="124"/>
      <c r="I96" s="124"/>
      <c r="J96" s="124"/>
      <c r="K96" s="124"/>
      <c r="L96" s="124"/>
      <c r="M96" s="146"/>
      <c r="N96" s="146"/>
      <c r="O96" s="146"/>
      <c r="P96" s="146"/>
      <c r="Q96" s="146"/>
    </row>
    <row r="97" spans="1:17" s="58" customFormat="1" ht="18" customHeight="1" outlineLevel="1" x14ac:dyDescent="0.45">
      <c r="A97" s="79"/>
      <c r="B97" s="79"/>
      <c r="C97" s="79"/>
      <c r="D97" s="79"/>
      <c r="E97" s="79"/>
      <c r="F97" s="156"/>
      <c r="G97" s="79"/>
      <c r="H97" s="124"/>
      <c r="I97" s="124"/>
      <c r="J97" s="124"/>
      <c r="K97" s="124"/>
      <c r="L97" s="124"/>
      <c r="M97" s="146"/>
      <c r="N97" s="146"/>
      <c r="O97" s="146"/>
      <c r="P97" s="146"/>
      <c r="Q97" s="146"/>
    </row>
    <row r="98" spans="1:17" s="58" customFormat="1" ht="18" customHeight="1" outlineLevel="1" x14ac:dyDescent="0.45">
      <c r="A98" s="79"/>
      <c r="B98" s="79"/>
      <c r="C98" s="79"/>
      <c r="D98" s="79"/>
      <c r="E98" s="79"/>
      <c r="F98" s="156"/>
      <c r="G98" s="79"/>
      <c r="H98" s="124"/>
      <c r="I98" s="124"/>
      <c r="J98" s="124"/>
      <c r="K98" s="124"/>
      <c r="L98" s="124"/>
      <c r="M98" s="146"/>
      <c r="N98" s="146"/>
      <c r="O98" s="146"/>
      <c r="P98" s="146"/>
      <c r="Q98" s="146"/>
    </row>
    <row r="99" spans="1:17" s="58" customFormat="1" ht="18" customHeight="1" outlineLevel="1" x14ac:dyDescent="0.45">
      <c r="A99" s="79"/>
      <c r="B99" s="79"/>
      <c r="C99" s="79"/>
      <c r="D99" s="79"/>
      <c r="E99" s="79"/>
      <c r="F99" s="156"/>
      <c r="G99" s="79"/>
      <c r="H99" s="124"/>
      <c r="I99" s="124"/>
      <c r="J99" s="124"/>
      <c r="K99" s="124"/>
      <c r="L99" s="124"/>
      <c r="M99" s="146"/>
      <c r="N99" s="146"/>
      <c r="O99" s="146"/>
      <c r="P99" s="146"/>
      <c r="Q99" s="146"/>
    </row>
    <row r="100" spans="1:17" s="58" customFormat="1" ht="18" customHeight="1" outlineLevel="1" x14ac:dyDescent="0.45">
      <c r="A100" s="79"/>
      <c r="B100" s="79"/>
      <c r="C100" s="79"/>
      <c r="D100" s="25"/>
      <c r="E100" s="25"/>
      <c r="F100" s="158"/>
      <c r="G100" s="25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</row>
    <row r="101" spans="1:17" s="58" customFormat="1" ht="18" customHeight="1" outlineLevel="1" x14ac:dyDescent="0.45">
      <c r="A101" s="79"/>
      <c r="B101" s="79"/>
      <c r="C101" s="79"/>
      <c r="D101" s="79"/>
      <c r="E101" s="79"/>
      <c r="F101" s="79"/>
      <c r="G101" s="79"/>
      <c r="H101" s="124"/>
      <c r="I101" s="124"/>
      <c r="J101" s="124"/>
      <c r="K101" s="124"/>
      <c r="L101" s="124"/>
      <c r="M101" s="146"/>
      <c r="N101" s="146"/>
      <c r="O101" s="146"/>
      <c r="P101" s="146"/>
      <c r="Q101" s="146"/>
    </row>
    <row r="102" spans="1:17" s="58" customFormat="1" ht="18" customHeight="1" outlineLevel="1" x14ac:dyDescent="0.45">
      <c r="A102" s="79"/>
      <c r="B102" s="79"/>
      <c r="C102" s="142"/>
      <c r="D102" s="79"/>
      <c r="E102" s="79"/>
      <c r="F102" s="156"/>
      <c r="G102" s="79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s="58" customFormat="1" ht="18" customHeight="1" outlineLevel="1" x14ac:dyDescent="0.45">
      <c r="A103" s="79"/>
      <c r="B103" s="79"/>
      <c r="C103" s="79"/>
      <c r="D103" s="79"/>
      <c r="E103" s="79"/>
      <c r="F103" s="156"/>
      <c r="G103" s="79"/>
      <c r="H103" s="124"/>
      <c r="I103" s="124"/>
      <c r="J103" s="124"/>
      <c r="K103" s="124"/>
      <c r="L103" s="124"/>
      <c r="M103" s="146"/>
      <c r="N103" s="146"/>
      <c r="O103" s="146"/>
      <c r="P103" s="146"/>
      <c r="Q103" s="146"/>
    </row>
    <row r="104" spans="1:17" s="58" customFormat="1" ht="18" customHeight="1" outlineLevel="1" x14ac:dyDescent="0.45">
      <c r="A104" s="79"/>
      <c r="B104" s="79"/>
      <c r="C104" s="79"/>
      <c r="D104" s="53"/>
      <c r="E104" s="53"/>
      <c r="F104" s="155"/>
      <c r="G104" s="53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</row>
    <row r="105" spans="1:17" s="58" customFormat="1" ht="18" customHeight="1" outlineLevel="1" x14ac:dyDescent="0.45">
      <c r="A105" s="79"/>
      <c r="B105" s="79"/>
      <c r="C105" s="79"/>
      <c r="D105" s="79"/>
      <c r="E105" s="79"/>
      <c r="F105" s="79"/>
      <c r="G105" s="79"/>
      <c r="H105" s="124"/>
      <c r="I105" s="124"/>
      <c r="J105" s="124"/>
      <c r="K105" s="124"/>
      <c r="L105" s="124"/>
      <c r="M105" s="142"/>
      <c r="N105" s="142"/>
      <c r="O105" s="142"/>
      <c r="P105" s="142"/>
      <c r="Q105" s="142"/>
    </row>
    <row r="106" spans="1:17" s="58" customFormat="1" ht="18" customHeight="1" x14ac:dyDescent="0.45">
      <c r="A106" s="79"/>
      <c r="B106" s="79"/>
      <c r="C106" s="79"/>
      <c r="D106" s="79"/>
      <c r="E106" s="79"/>
      <c r="F106" s="79"/>
      <c r="G106" s="79"/>
      <c r="H106" s="124"/>
      <c r="I106" s="124"/>
      <c r="J106" s="124"/>
      <c r="K106" s="124"/>
      <c r="L106" s="124"/>
      <c r="M106" s="142"/>
      <c r="N106" s="142"/>
      <c r="O106" s="142"/>
      <c r="P106" s="142"/>
      <c r="Q106" s="142"/>
    </row>
    <row r="107" spans="1:17" s="58" customFormat="1" ht="18" customHeight="1" x14ac:dyDescent="0.45">
      <c r="A107" s="79"/>
      <c r="B107" s="79"/>
      <c r="C107" s="79"/>
      <c r="D107" s="79"/>
      <c r="E107" s="79"/>
      <c r="F107" s="79"/>
      <c r="G107" s="79"/>
      <c r="H107" s="124"/>
      <c r="I107" s="124"/>
      <c r="J107" s="124"/>
      <c r="K107" s="124"/>
      <c r="L107" s="124"/>
      <c r="M107" s="142"/>
      <c r="N107" s="142"/>
      <c r="O107" s="142"/>
      <c r="P107" s="142"/>
      <c r="Q107" s="142"/>
    </row>
    <row r="108" spans="1:17" s="58" customFormat="1" ht="20.25" customHeight="1" x14ac:dyDescent="0.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</row>
    <row r="109" spans="1:17" s="58" customFormat="1" ht="18" customHeight="1" x14ac:dyDescent="0.45">
      <c r="A109" s="79"/>
      <c r="B109" s="79"/>
      <c r="C109" s="79"/>
      <c r="D109" s="79"/>
      <c r="E109" s="79"/>
      <c r="F109" s="79"/>
      <c r="G109" s="79"/>
      <c r="H109" s="124"/>
      <c r="I109" s="124"/>
      <c r="J109" s="124"/>
      <c r="K109" s="124"/>
      <c r="L109" s="124"/>
      <c r="M109" s="142"/>
      <c r="N109" s="142"/>
      <c r="O109" s="142"/>
      <c r="P109" s="142"/>
      <c r="Q109" s="142"/>
    </row>
    <row r="110" spans="1:17" s="58" customFormat="1" ht="18" customHeight="1" x14ac:dyDescent="0.45">
      <c r="A110" s="79"/>
      <c r="B110" s="79"/>
      <c r="C110" s="53"/>
      <c r="D110" s="79"/>
      <c r="E110" s="79"/>
      <c r="F110" s="79"/>
      <c r="G110" s="79"/>
      <c r="H110" s="124"/>
      <c r="I110" s="124"/>
      <c r="J110" s="124"/>
      <c r="K110" s="124"/>
      <c r="L110" s="124"/>
      <c r="M110" s="142"/>
      <c r="N110" s="142"/>
      <c r="O110" s="142"/>
      <c r="P110" s="142"/>
      <c r="Q110" s="142"/>
    </row>
    <row r="111" spans="1:17" s="58" customFormat="1" ht="18" customHeight="1" x14ac:dyDescent="0.45">
      <c r="A111" s="79"/>
      <c r="B111" s="79"/>
      <c r="C111" s="79"/>
      <c r="D111" s="79"/>
      <c r="E111" s="79"/>
      <c r="F111" s="156"/>
      <c r="G111" s="79"/>
      <c r="H111" s="124"/>
      <c r="I111" s="124"/>
      <c r="J111" s="124"/>
      <c r="K111" s="124"/>
      <c r="L111" s="124"/>
      <c r="M111" s="146"/>
      <c r="N111" s="146"/>
      <c r="O111" s="146"/>
      <c r="P111" s="146"/>
      <c r="Q111" s="146"/>
    </row>
    <row r="112" spans="1:17" s="58" customFormat="1" ht="18" customHeight="1" x14ac:dyDescent="0.45">
      <c r="A112" s="79"/>
      <c r="B112" s="79"/>
      <c r="C112" s="79"/>
      <c r="D112" s="79"/>
      <c r="E112" s="79"/>
      <c r="F112" s="156"/>
      <c r="G112" s="79"/>
      <c r="H112" s="124"/>
      <c r="I112" s="124"/>
      <c r="J112" s="124"/>
      <c r="K112" s="124"/>
      <c r="L112" s="124"/>
      <c r="M112" s="146"/>
      <c r="N112" s="146"/>
      <c r="O112" s="146"/>
      <c r="P112" s="146"/>
      <c r="Q112" s="146"/>
    </row>
    <row r="113" spans="1:17" s="58" customFormat="1" ht="18" customHeight="1" x14ac:dyDescent="0.45">
      <c r="A113" s="79"/>
      <c r="B113" s="79"/>
      <c r="C113" s="79"/>
      <c r="D113" s="79"/>
      <c r="E113" s="79"/>
      <c r="F113" s="156"/>
      <c r="G113" s="79"/>
      <c r="H113" s="124"/>
      <c r="I113" s="124"/>
      <c r="J113" s="124"/>
      <c r="K113" s="124"/>
      <c r="L113" s="124"/>
      <c r="M113" s="146"/>
      <c r="N113" s="146"/>
      <c r="O113" s="146"/>
      <c r="P113" s="146"/>
      <c r="Q113" s="146"/>
    </row>
    <row r="114" spans="1:17" s="58" customFormat="1" ht="18" customHeight="1" x14ac:dyDescent="0.45">
      <c r="A114" s="79"/>
      <c r="B114" s="79"/>
      <c r="C114" s="79"/>
      <c r="D114" s="79"/>
      <c r="E114" s="79"/>
      <c r="F114" s="156"/>
      <c r="G114" s="79"/>
      <c r="H114" s="124"/>
      <c r="I114" s="124"/>
      <c r="J114" s="124"/>
      <c r="K114" s="124"/>
      <c r="L114" s="124"/>
      <c r="M114" s="146"/>
      <c r="N114" s="146"/>
      <c r="O114" s="146"/>
      <c r="P114" s="146"/>
      <c r="Q114" s="146"/>
    </row>
    <row r="115" spans="1:17" s="58" customFormat="1" ht="18" customHeight="1" x14ac:dyDescent="0.45">
      <c r="A115" s="79"/>
      <c r="B115" s="79"/>
      <c r="C115" s="79"/>
      <c r="D115" s="25"/>
      <c r="E115" s="25"/>
      <c r="F115" s="158"/>
      <c r="G115" s="25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</row>
    <row r="116" spans="1:17" s="58" customFormat="1" ht="18" customHeight="1" x14ac:dyDescent="0.45">
      <c r="A116" s="79"/>
      <c r="B116" s="79"/>
      <c r="C116" s="79"/>
      <c r="D116" s="79"/>
      <c r="E116" s="79"/>
      <c r="F116" s="156"/>
      <c r="G116" s="79"/>
      <c r="H116" s="124"/>
      <c r="I116" s="124"/>
      <c r="J116" s="124"/>
      <c r="K116" s="124"/>
      <c r="L116" s="124"/>
      <c r="M116" s="142"/>
      <c r="N116" s="142"/>
      <c r="O116" s="142"/>
      <c r="P116" s="142"/>
      <c r="Q116" s="142"/>
    </row>
    <row r="117" spans="1:17" s="58" customFormat="1" ht="18" customHeight="1" x14ac:dyDescent="0.45">
      <c r="A117" s="79"/>
      <c r="B117" s="79"/>
      <c r="C117" s="79"/>
      <c r="D117" s="79"/>
      <c r="E117" s="79"/>
      <c r="F117" s="142"/>
      <c r="G117" s="79"/>
      <c r="H117" s="124"/>
      <c r="I117" s="124"/>
      <c r="J117" s="124"/>
      <c r="K117" s="124"/>
      <c r="L117" s="124"/>
      <c r="M117" s="142"/>
      <c r="N117" s="142"/>
      <c r="O117" s="142"/>
      <c r="P117" s="142"/>
      <c r="Q117" s="142"/>
    </row>
    <row r="118" spans="1:17" s="58" customFormat="1" ht="18" customHeight="1" x14ac:dyDescent="0.45">
      <c r="A118" s="79"/>
      <c r="B118" s="79"/>
      <c r="C118" s="79"/>
      <c r="D118" s="79"/>
      <c r="E118" s="79"/>
      <c r="F118" s="156"/>
      <c r="G118" s="79"/>
      <c r="H118" s="146"/>
      <c r="I118" s="124"/>
      <c r="J118" s="124"/>
      <c r="K118" s="124"/>
      <c r="L118" s="124"/>
      <c r="M118" s="146"/>
      <c r="N118" s="146"/>
      <c r="O118" s="146"/>
      <c r="P118" s="146"/>
      <c r="Q118" s="146"/>
    </row>
    <row r="119" spans="1:17" s="58" customFormat="1" ht="18" customHeight="1" x14ac:dyDescent="0.45">
      <c r="A119" s="79"/>
      <c r="B119" s="79"/>
      <c r="C119" s="79"/>
      <c r="D119" s="79"/>
      <c r="E119" s="79"/>
      <c r="F119" s="156"/>
      <c r="G119" s="79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s="58" customFormat="1" ht="18" customHeight="1" x14ac:dyDescent="0.45">
      <c r="A120" s="79"/>
      <c r="B120" s="79"/>
      <c r="C120" s="79"/>
      <c r="D120" s="79"/>
      <c r="E120" s="79"/>
      <c r="F120" s="156"/>
      <c r="G120" s="79"/>
      <c r="H120" s="124"/>
      <c r="I120" s="124"/>
      <c r="J120" s="124"/>
      <c r="K120" s="124"/>
      <c r="L120" s="124"/>
      <c r="M120" s="146"/>
      <c r="N120" s="146"/>
      <c r="O120" s="146"/>
      <c r="P120" s="146"/>
      <c r="Q120" s="146"/>
    </row>
    <row r="121" spans="1:17" s="58" customFormat="1" ht="18" customHeight="1" x14ac:dyDescent="0.45">
      <c r="A121" s="79"/>
      <c r="B121" s="79"/>
      <c r="C121" s="79"/>
      <c r="D121" s="53"/>
      <c r="E121" s="53"/>
      <c r="F121" s="158"/>
      <c r="G121" s="53"/>
      <c r="H121" s="124"/>
      <c r="I121" s="124"/>
      <c r="J121" s="124"/>
      <c r="K121" s="124"/>
      <c r="L121" s="124"/>
      <c r="M121" s="159"/>
      <c r="N121" s="159"/>
      <c r="O121" s="159"/>
      <c r="P121" s="159"/>
      <c r="Q121" s="159"/>
    </row>
    <row r="122" spans="1:17" s="58" customFormat="1" ht="18" customHeight="1" x14ac:dyDescent="0.45">
      <c r="A122" s="79"/>
      <c r="B122" s="79"/>
      <c r="C122" s="79"/>
      <c r="D122" s="79"/>
      <c r="E122" s="79"/>
      <c r="F122" s="79"/>
      <c r="G122" s="79"/>
      <c r="H122" s="124"/>
      <c r="I122" s="124"/>
      <c r="J122" s="124"/>
      <c r="K122" s="124"/>
      <c r="L122" s="124"/>
      <c r="M122" s="142"/>
      <c r="N122" s="142"/>
      <c r="O122" s="142"/>
      <c r="P122" s="142"/>
      <c r="Q122" s="142"/>
    </row>
    <row r="123" spans="1:17" s="58" customFormat="1" ht="18" customHeight="1" x14ac:dyDescent="0.45">
      <c r="A123" s="79"/>
      <c r="B123" s="79"/>
      <c r="C123" s="79"/>
      <c r="D123" s="79"/>
      <c r="E123" s="79"/>
      <c r="F123" s="79"/>
      <c r="G123" s="79"/>
      <c r="H123" s="124"/>
      <c r="I123" s="124"/>
      <c r="J123" s="124"/>
      <c r="K123" s="124"/>
      <c r="L123" s="124"/>
      <c r="M123" s="142"/>
      <c r="N123" s="142"/>
      <c r="O123" s="142"/>
      <c r="P123" s="142"/>
      <c r="Q123" s="142"/>
    </row>
    <row r="124" spans="1:17" s="58" customFormat="1" ht="18" customHeight="1" x14ac:dyDescent="0.45">
      <c r="A124" s="79"/>
      <c r="B124" s="79"/>
      <c r="C124" s="79"/>
      <c r="D124" s="79"/>
      <c r="E124" s="79"/>
      <c r="F124" s="156"/>
      <c r="G124" s="79"/>
      <c r="H124" s="124"/>
      <c r="I124" s="124"/>
      <c r="J124" s="124"/>
      <c r="K124" s="124"/>
      <c r="L124" s="124"/>
      <c r="M124" s="146"/>
      <c r="N124" s="146"/>
      <c r="O124" s="146"/>
      <c r="P124" s="146"/>
      <c r="Q124" s="146"/>
    </row>
    <row r="125" spans="1:17" s="58" customFormat="1" ht="18" customHeight="1" x14ac:dyDescent="0.45">
      <c r="A125" s="79"/>
      <c r="B125" s="79"/>
      <c r="C125" s="79"/>
      <c r="D125" s="79"/>
      <c r="E125" s="79"/>
      <c r="F125" s="156"/>
      <c r="G125" s="79"/>
      <c r="H125" s="124"/>
      <c r="I125" s="159"/>
      <c r="J125" s="159"/>
      <c r="K125" s="159"/>
      <c r="L125" s="159"/>
      <c r="M125" s="159"/>
      <c r="N125" s="159"/>
      <c r="O125" s="159"/>
      <c r="P125" s="159"/>
      <c r="Q125" s="159"/>
    </row>
    <row r="126" spans="1:17" s="58" customFormat="1" ht="18" customHeight="1" x14ac:dyDescent="0.45">
      <c r="A126" s="79"/>
      <c r="B126" s="79"/>
      <c r="C126" s="79"/>
      <c r="D126" s="79"/>
      <c r="E126" s="79"/>
      <c r="F126" s="158"/>
      <c r="G126" s="53"/>
      <c r="H126" s="124"/>
      <c r="I126" s="124"/>
      <c r="J126" s="124"/>
      <c r="K126" s="124"/>
      <c r="L126" s="124"/>
      <c r="M126" s="159"/>
      <c r="N126" s="159"/>
      <c r="O126" s="159"/>
      <c r="P126" s="159"/>
      <c r="Q126" s="159"/>
    </row>
    <row r="127" spans="1:17" s="58" customFormat="1" ht="18" customHeight="1" x14ac:dyDescent="0.45">
      <c r="A127" s="79"/>
      <c r="B127" s="79"/>
      <c r="C127" s="79"/>
      <c r="D127" s="79"/>
      <c r="E127" s="79"/>
      <c r="F127" s="156"/>
      <c r="G127" s="79"/>
      <c r="H127" s="124"/>
      <c r="I127" s="124"/>
      <c r="J127" s="124"/>
      <c r="K127" s="124"/>
      <c r="L127" s="124"/>
      <c r="M127" s="146"/>
      <c r="N127" s="146"/>
      <c r="O127" s="146"/>
      <c r="P127" s="146"/>
      <c r="Q127" s="146"/>
    </row>
    <row r="128" spans="1:17" s="58" customFormat="1" ht="18" customHeight="1" x14ac:dyDescent="0.45">
      <c r="A128" s="79"/>
      <c r="B128" s="79"/>
      <c r="C128" s="79"/>
      <c r="D128" s="79"/>
      <c r="E128" s="79"/>
      <c r="F128" s="79"/>
      <c r="G128" s="79"/>
      <c r="H128" s="124"/>
      <c r="I128" s="124"/>
      <c r="J128" s="124"/>
      <c r="K128" s="124"/>
      <c r="L128" s="124"/>
      <c r="M128" s="142"/>
      <c r="N128" s="142"/>
      <c r="O128" s="142"/>
      <c r="P128" s="142"/>
      <c r="Q128" s="142"/>
    </row>
    <row r="129" spans="1:17" s="58" customFormat="1" ht="18" customHeight="1" x14ac:dyDescent="0.45">
      <c r="A129" s="79"/>
      <c r="B129" s="79"/>
      <c r="C129" s="79"/>
      <c r="D129" s="79"/>
      <c r="E129" s="79"/>
      <c r="F129" s="79"/>
      <c r="G129" s="79"/>
      <c r="H129" s="124"/>
      <c r="I129" s="124"/>
      <c r="J129" s="124"/>
      <c r="K129" s="124"/>
      <c r="L129" s="124"/>
      <c r="M129" s="142"/>
      <c r="N129" s="142"/>
      <c r="O129" s="142"/>
      <c r="P129" s="142"/>
      <c r="Q129" s="142"/>
    </row>
    <row r="130" spans="1:17" s="58" customFormat="1" ht="18" customHeight="1" x14ac:dyDescent="0.45">
      <c r="A130" s="79"/>
      <c r="B130" s="79"/>
      <c r="C130" s="79"/>
      <c r="D130" s="79"/>
      <c r="E130" s="79"/>
      <c r="F130" s="79"/>
      <c r="G130" s="79"/>
      <c r="H130" s="124"/>
      <c r="I130" s="124"/>
      <c r="J130" s="124"/>
      <c r="K130" s="124"/>
      <c r="L130" s="124"/>
      <c r="M130" s="142"/>
      <c r="N130" s="142"/>
      <c r="O130" s="142"/>
      <c r="P130" s="142"/>
      <c r="Q130" s="142"/>
    </row>
    <row r="131" spans="1:17" s="58" customFormat="1" ht="18" customHeight="1" x14ac:dyDescent="0.45">
      <c r="A131" s="79"/>
      <c r="B131" s="79"/>
      <c r="C131" s="79"/>
      <c r="D131" s="79"/>
      <c r="E131" s="79"/>
      <c r="F131" s="79"/>
      <c r="G131" s="79"/>
      <c r="H131" s="124"/>
      <c r="I131" s="124"/>
      <c r="J131" s="124"/>
      <c r="K131" s="124"/>
      <c r="L131" s="124"/>
      <c r="M131" s="142"/>
      <c r="N131" s="142"/>
      <c r="O131" s="142"/>
      <c r="P131" s="142"/>
      <c r="Q131" s="142"/>
    </row>
    <row r="132" spans="1:17" s="58" customFormat="1" ht="18" customHeight="1" x14ac:dyDescent="0.45">
      <c r="A132" s="79"/>
      <c r="B132" s="79"/>
      <c r="C132" s="79"/>
      <c r="D132" s="79"/>
      <c r="E132" s="79"/>
      <c r="F132" s="79"/>
      <c r="G132" s="79"/>
      <c r="H132" s="124"/>
      <c r="I132" s="124"/>
      <c r="J132" s="124"/>
      <c r="K132" s="124"/>
      <c r="L132" s="124"/>
      <c r="M132" s="142"/>
      <c r="N132" s="142"/>
      <c r="O132" s="142"/>
      <c r="P132" s="142"/>
      <c r="Q132" s="142"/>
    </row>
    <row r="133" spans="1:17" s="58" customFormat="1" ht="18" customHeight="1" x14ac:dyDescent="0.45">
      <c r="A133" s="79"/>
      <c r="B133" s="79"/>
      <c r="C133" s="79"/>
      <c r="D133" s="79"/>
      <c r="E133" s="79"/>
      <c r="F133" s="79"/>
      <c r="G133" s="79"/>
      <c r="H133" s="124"/>
      <c r="I133" s="124"/>
      <c r="J133" s="124"/>
      <c r="K133" s="124"/>
      <c r="L133" s="124"/>
      <c r="M133" s="142"/>
      <c r="N133" s="142"/>
      <c r="O133" s="142"/>
      <c r="P133" s="142"/>
      <c r="Q133" s="142"/>
    </row>
    <row r="134" spans="1:17" s="58" customFormat="1" ht="18" customHeight="1" x14ac:dyDescent="0.45">
      <c r="A134" s="79"/>
      <c r="B134" s="79"/>
      <c r="C134" s="79"/>
      <c r="D134" s="79"/>
      <c r="E134" s="79"/>
      <c r="F134" s="79"/>
      <c r="G134" s="79"/>
      <c r="H134" s="124"/>
      <c r="I134" s="124"/>
      <c r="J134" s="124"/>
      <c r="K134" s="124"/>
      <c r="L134" s="124"/>
      <c r="M134" s="142"/>
      <c r="N134" s="142"/>
      <c r="O134" s="142"/>
      <c r="P134" s="142"/>
      <c r="Q134" s="142"/>
    </row>
    <row r="135" spans="1:17" s="58" customFormat="1" ht="18" customHeight="1" x14ac:dyDescent="0.45">
      <c r="A135" s="79"/>
      <c r="B135" s="79"/>
      <c r="C135" s="79"/>
      <c r="D135" s="79"/>
      <c r="E135" s="79"/>
      <c r="F135" s="79"/>
      <c r="G135" s="79"/>
      <c r="H135" s="124"/>
      <c r="I135" s="124"/>
      <c r="J135" s="124"/>
      <c r="K135" s="124"/>
      <c r="L135" s="124"/>
      <c r="M135" s="142"/>
      <c r="N135" s="142"/>
      <c r="O135" s="142"/>
      <c r="P135" s="142"/>
      <c r="Q135" s="142"/>
    </row>
    <row r="136" spans="1:17" s="58" customFormat="1" ht="18" customHeight="1" x14ac:dyDescent="0.45">
      <c r="A136" s="79"/>
      <c r="B136" s="79"/>
      <c r="C136" s="79"/>
      <c r="D136" s="79"/>
      <c r="E136" s="79"/>
      <c r="F136" s="79"/>
      <c r="G136" s="79"/>
      <c r="H136" s="124"/>
      <c r="I136" s="124"/>
      <c r="J136" s="124"/>
      <c r="K136" s="124"/>
      <c r="L136" s="124"/>
      <c r="M136" s="142"/>
      <c r="N136" s="142"/>
      <c r="O136" s="142"/>
      <c r="P136" s="142"/>
      <c r="Q136" s="142"/>
    </row>
    <row r="137" spans="1:17" s="58" customFormat="1" ht="18" customHeight="1" x14ac:dyDescent="0.45">
      <c r="A137" s="79"/>
      <c r="B137" s="79"/>
      <c r="C137" s="79"/>
      <c r="D137" s="79"/>
      <c r="E137" s="79"/>
      <c r="F137" s="79"/>
      <c r="G137" s="79"/>
      <c r="H137" s="124"/>
      <c r="I137" s="124"/>
      <c r="J137" s="124"/>
      <c r="K137" s="124"/>
      <c r="L137" s="124"/>
      <c r="M137" s="142"/>
      <c r="N137" s="142"/>
      <c r="O137" s="142"/>
      <c r="P137" s="142"/>
      <c r="Q137" s="142"/>
    </row>
    <row r="138" spans="1:17" s="58" customFormat="1" ht="18" customHeight="1" x14ac:dyDescent="0.45">
      <c r="A138" s="79"/>
      <c r="B138" s="79"/>
      <c r="C138" s="79"/>
      <c r="D138" s="79"/>
      <c r="E138" s="79"/>
      <c r="F138" s="79"/>
      <c r="G138" s="79"/>
      <c r="H138" s="124"/>
      <c r="I138" s="124"/>
      <c r="J138" s="124"/>
      <c r="K138" s="124"/>
      <c r="L138" s="124"/>
      <c r="M138" s="142"/>
      <c r="N138" s="142"/>
      <c r="O138" s="142"/>
      <c r="P138" s="142"/>
      <c r="Q138" s="142"/>
    </row>
    <row r="139" spans="1:17" s="58" customFormat="1" ht="18" customHeight="1" x14ac:dyDescent="0.45">
      <c r="A139" s="79"/>
      <c r="B139" s="79"/>
      <c r="C139" s="79"/>
      <c r="D139" s="79"/>
      <c r="E139" s="79"/>
      <c r="F139" s="79"/>
      <c r="G139" s="79"/>
      <c r="H139" s="124"/>
      <c r="I139" s="124"/>
      <c r="J139" s="124"/>
      <c r="K139" s="124"/>
      <c r="L139" s="124"/>
      <c r="M139" s="142"/>
      <c r="N139" s="142"/>
      <c r="O139" s="142"/>
      <c r="P139" s="142"/>
      <c r="Q139" s="142"/>
    </row>
    <row r="140" spans="1:17" s="58" customFormat="1" ht="18" customHeight="1" x14ac:dyDescent="0.45">
      <c r="A140" s="79"/>
      <c r="B140" s="79"/>
      <c r="C140" s="79"/>
      <c r="D140" s="79"/>
      <c r="E140" s="79"/>
      <c r="F140" s="79"/>
      <c r="G140" s="79"/>
      <c r="H140" s="124"/>
      <c r="I140" s="124"/>
      <c r="J140" s="124"/>
      <c r="K140" s="124"/>
      <c r="L140" s="124"/>
      <c r="M140" s="142"/>
      <c r="N140" s="142"/>
      <c r="O140" s="142"/>
      <c r="P140" s="142"/>
      <c r="Q140" s="142"/>
    </row>
    <row r="141" spans="1:17" s="58" customFormat="1" ht="18" customHeight="1" x14ac:dyDescent="0.45">
      <c r="A141" s="79"/>
      <c r="B141" s="79"/>
      <c r="C141" s="79"/>
      <c r="D141" s="79"/>
      <c r="E141" s="79"/>
      <c r="F141" s="79"/>
      <c r="G141" s="79"/>
      <c r="H141" s="124"/>
      <c r="I141" s="124"/>
      <c r="J141" s="124"/>
      <c r="K141" s="124"/>
      <c r="L141" s="124"/>
      <c r="M141" s="142"/>
      <c r="N141" s="142"/>
      <c r="O141" s="142"/>
      <c r="P141" s="142"/>
      <c r="Q141" s="142"/>
    </row>
    <row r="142" spans="1:17" s="58" customFormat="1" ht="18" customHeight="1" x14ac:dyDescent="0.45">
      <c r="A142" s="79"/>
      <c r="B142" s="79"/>
      <c r="C142" s="79"/>
      <c r="D142" s="79"/>
      <c r="E142" s="79"/>
      <c r="F142" s="79"/>
      <c r="G142" s="79"/>
      <c r="H142" s="124"/>
      <c r="I142" s="124"/>
      <c r="J142" s="124"/>
      <c r="K142" s="124"/>
      <c r="L142" s="124"/>
      <c r="M142" s="142"/>
      <c r="N142" s="142"/>
      <c r="O142" s="142"/>
      <c r="P142" s="142"/>
      <c r="Q142" s="142"/>
    </row>
    <row r="143" spans="1:17" s="58" customFormat="1" ht="18" customHeight="1" x14ac:dyDescent="0.45">
      <c r="A143" s="79"/>
      <c r="B143" s="79"/>
      <c r="C143" s="79"/>
      <c r="D143" s="79"/>
      <c r="E143" s="79"/>
      <c r="F143" s="79"/>
      <c r="G143" s="79"/>
      <c r="H143" s="124"/>
      <c r="I143" s="124"/>
      <c r="J143" s="124"/>
      <c r="K143" s="124"/>
      <c r="L143" s="124"/>
      <c r="M143" s="142"/>
      <c r="N143" s="142"/>
      <c r="O143" s="142"/>
      <c r="P143" s="142"/>
      <c r="Q143" s="142"/>
    </row>
    <row r="144" spans="1:17" s="58" customFormat="1" ht="18" customHeight="1" x14ac:dyDescent="0.45">
      <c r="A144" s="79"/>
      <c r="B144" s="79"/>
      <c r="C144" s="79"/>
      <c r="D144" s="79"/>
      <c r="E144" s="79"/>
      <c r="F144" s="79"/>
      <c r="G144" s="79"/>
      <c r="H144" s="124"/>
      <c r="I144" s="124"/>
      <c r="J144" s="124"/>
      <c r="K144" s="124"/>
      <c r="L144" s="124"/>
      <c r="M144" s="142"/>
      <c r="N144" s="142"/>
      <c r="O144" s="142"/>
      <c r="P144" s="142"/>
      <c r="Q144" s="142"/>
    </row>
    <row r="145" spans="1:17" s="58" customFormat="1" ht="18" customHeight="1" x14ac:dyDescent="0.45">
      <c r="A145" s="79"/>
      <c r="B145" s="79"/>
      <c r="C145" s="79"/>
      <c r="D145" s="79"/>
      <c r="E145" s="79"/>
      <c r="F145" s="79"/>
      <c r="G145" s="79"/>
      <c r="H145" s="124"/>
      <c r="I145" s="124"/>
      <c r="J145" s="124"/>
      <c r="K145" s="124"/>
      <c r="L145" s="124"/>
      <c r="M145" s="142"/>
      <c r="N145" s="142"/>
      <c r="O145" s="142"/>
      <c r="P145" s="142"/>
      <c r="Q145" s="142"/>
    </row>
    <row r="146" spans="1:17" s="58" customFormat="1" ht="18" customHeight="1" x14ac:dyDescent="0.45">
      <c r="A146" s="79"/>
      <c r="B146" s="79"/>
      <c r="C146" s="79"/>
      <c r="D146" s="79"/>
      <c r="E146" s="79"/>
      <c r="F146" s="79"/>
      <c r="G146" s="79"/>
      <c r="H146" s="124"/>
      <c r="I146" s="124"/>
      <c r="J146" s="124"/>
      <c r="K146" s="124"/>
      <c r="L146" s="124"/>
      <c r="M146" s="142"/>
      <c r="N146" s="142"/>
      <c r="O146" s="142"/>
      <c r="P146" s="142"/>
      <c r="Q146" s="142"/>
    </row>
    <row r="147" spans="1:17" s="58" customFormat="1" ht="18" customHeight="1" x14ac:dyDescent="0.45">
      <c r="A147" s="79"/>
      <c r="B147" s="79"/>
      <c r="C147" s="79"/>
      <c r="D147" s="79"/>
      <c r="E147" s="79"/>
      <c r="F147" s="79"/>
      <c r="G147" s="79"/>
      <c r="H147" s="124"/>
      <c r="I147" s="124"/>
      <c r="J147" s="124"/>
      <c r="K147" s="124"/>
      <c r="L147" s="124"/>
      <c r="M147" s="142"/>
      <c r="N147" s="142"/>
      <c r="O147" s="142"/>
      <c r="P147" s="142"/>
      <c r="Q147" s="142"/>
    </row>
    <row r="148" spans="1:17" s="58" customFormat="1" ht="18" customHeight="1" x14ac:dyDescent="0.45">
      <c r="A148" s="79"/>
      <c r="B148" s="79"/>
      <c r="C148" s="79"/>
      <c r="D148" s="79"/>
      <c r="E148" s="79"/>
      <c r="F148" s="79"/>
      <c r="G148" s="79"/>
      <c r="H148" s="124"/>
      <c r="I148" s="124"/>
      <c r="J148" s="124"/>
      <c r="K148" s="124"/>
      <c r="L148" s="124"/>
      <c r="M148" s="142"/>
      <c r="N148" s="142"/>
      <c r="O148" s="142"/>
      <c r="P148" s="142"/>
      <c r="Q148" s="142"/>
    </row>
    <row r="149" spans="1:17" s="58" customFormat="1" ht="18" customHeight="1" x14ac:dyDescent="0.45">
      <c r="A149" s="79"/>
      <c r="B149" s="79"/>
      <c r="C149" s="79"/>
      <c r="D149" s="79"/>
      <c r="E149" s="79"/>
      <c r="F149" s="79"/>
      <c r="G149" s="79"/>
      <c r="H149" s="124"/>
      <c r="I149" s="124"/>
      <c r="J149" s="124"/>
      <c r="K149" s="124"/>
      <c r="L149" s="124"/>
      <c r="M149" s="142"/>
      <c r="N149" s="142"/>
      <c r="O149" s="142"/>
      <c r="P149" s="142"/>
      <c r="Q149" s="142"/>
    </row>
    <row r="150" spans="1:17" s="58" customFormat="1" ht="18" customHeight="1" x14ac:dyDescent="0.45">
      <c r="A150" s="79"/>
      <c r="B150" s="79"/>
      <c r="C150" s="79"/>
      <c r="D150" s="79"/>
      <c r="E150" s="79"/>
      <c r="F150" s="79"/>
      <c r="G150" s="79"/>
      <c r="H150" s="124"/>
      <c r="I150" s="124"/>
      <c r="J150" s="124"/>
      <c r="K150" s="124"/>
      <c r="L150" s="124"/>
      <c r="M150" s="142"/>
      <c r="N150" s="142"/>
      <c r="O150" s="142"/>
      <c r="P150" s="142"/>
      <c r="Q150" s="142"/>
    </row>
    <row r="151" spans="1:17" s="58" customFormat="1" ht="18" customHeight="1" x14ac:dyDescent="0.45">
      <c r="A151" s="79"/>
      <c r="B151" s="79"/>
      <c r="C151" s="79"/>
      <c r="D151" s="79"/>
      <c r="E151" s="79"/>
      <c r="F151" s="79"/>
      <c r="G151" s="79"/>
      <c r="H151" s="124"/>
      <c r="I151" s="124"/>
      <c r="J151" s="124"/>
      <c r="K151" s="124"/>
      <c r="L151" s="124"/>
      <c r="M151" s="142"/>
      <c r="N151" s="142"/>
      <c r="O151" s="142"/>
      <c r="P151" s="142"/>
      <c r="Q151" s="142"/>
    </row>
    <row r="152" spans="1:17" s="58" customFormat="1" ht="18" customHeight="1" x14ac:dyDescent="0.45">
      <c r="A152" s="79"/>
      <c r="B152" s="79"/>
      <c r="C152" s="79"/>
      <c r="D152" s="79"/>
      <c r="E152" s="79"/>
      <c r="F152" s="79"/>
      <c r="G152" s="79"/>
      <c r="H152" s="124"/>
      <c r="I152" s="124"/>
      <c r="J152" s="124"/>
      <c r="K152" s="124"/>
      <c r="L152" s="124"/>
      <c r="M152" s="142"/>
      <c r="N152" s="142"/>
      <c r="O152" s="142"/>
      <c r="P152" s="142"/>
      <c r="Q152" s="142"/>
    </row>
    <row r="153" spans="1:17" s="58" customFormat="1" ht="18" customHeight="1" x14ac:dyDescent="0.45">
      <c r="A153" s="79"/>
      <c r="B153" s="79"/>
      <c r="C153" s="79"/>
      <c r="D153" s="79"/>
      <c r="E153" s="79"/>
      <c r="F153" s="79"/>
      <c r="G153" s="79"/>
      <c r="H153" s="124"/>
      <c r="I153" s="124"/>
      <c r="J153" s="124"/>
      <c r="K153" s="124"/>
      <c r="L153" s="124"/>
      <c r="M153" s="142"/>
      <c r="N153" s="142"/>
      <c r="O153" s="142"/>
      <c r="P153" s="142"/>
      <c r="Q153" s="142"/>
    </row>
    <row r="154" spans="1:17" s="58" customFormat="1" ht="18" customHeight="1" x14ac:dyDescent="0.45">
      <c r="A154" s="79"/>
      <c r="B154" s="79"/>
      <c r="C154" s="79"/>
      <c r="D154" s="79"/>
      <c r="E154" s="79"/>
      <c r="F154" s="79"/>
      <c r="G154" s="79"/>
      <c r="H154" s="124"/>
      <c r="I154" s="124"/>
      <c r="J154" s="124"/>
      <c r="K154" s="124"/>
      <c r="L154" s="124"/>
      <c r="M154" s="142"/>
      <c r="N154" s="142"/>
      <c r="O154" s="142"/>
      <c r="P154" s="142"/>
      <c r="Q154" s="142"/>
    </row>
    <row r="155" spans="1:17" s="58" customFormat="1" ht="18" customHeight="1" x14ac:dyDescent="0.45">
      <c r="A155" s="79"/>
      <c r="B155" s="79"/>
      <c r="C155" s="79"/>
      <c r="D155" s="79"/>
      <c r="E155" s="79"/>
      <c r="F155" s="79"/>
      <c r="G155" s="79"/>
      <c r="H155" s="124"/>
      <c r="I155" s="124"/>
      <c r="J155" s="124"/>
      <c r="K155" s="124"/>
      <c r="L155" s="124"/>
      <c r="M155" s="142"/>
      <c r="N155" s="142"/>
      <c r="O155" s="142"/>
      <c r="P155" s="142"/>
      <c r="Q155" s="142"/>
    </row>
    <row r="156" spans="1:17" s="58" customFormat="1" ht="18" customHeight="1" x14ac:dyDescent="0.45">
      <c r="A156" s="79"/>
      <c r="B156" s="79"/>
      <c r="C156" s="79"/>
      <c r="D156" s="79"/>
      <c r="E156" s="79"/>
      <c r="F156" s="79"/>
      <c r="G156" s="79"/>
      <c r="H156" s="124"/>
      <c r="I156" s="124"/>
      <c r="J156" s="124"/>
      <c r="K156" s="124"/>
      <c r="L156" s="124"/>
      <c r="M156" s="142"/>
      <c r="N156" s="142"/>
      <c r="O156" s="142"/>
      <c r="P156" s="142"/>
      <c r="Q156" s="142"/>
    </row>
    <row r="157" spans="1:17" s="58" customFormat="1" ht="18" customHeight="1" x14ac:dyDescent="0.45">
      <c r="A157" s="79"/>
      <c r="B157" s="79"/>
      <c r="C157" s="79"/>
      <c r="D157" s="79"/>
      <c r="E157" s="79"/>
      <c r="F157" s="79"/>
      <c r="G157" s="79"/>
      <c r="H157" s="124"/>
      <c r="I157" s="124"/>
      <c r="J157" s="124"/>
      <c r="K157" s="124"/>
      <c r="L157" s="124"/>
      <c r="M157" s="142"/>
      <c r="N157" s="142"/>
      <c r="O157" s="142"/>
      <c r="P157" s="142"/>
      <c r="Q157" s="142"/>
    </row>
    <row r="158" spans="1:17" s="58" customFormat="1" ht="18" customHeight="1" x14ac:dyDescent="0.45">
      <c r="A158" s="79"/>
      <c r="B158" s="79"/>
      <c r="C158" s="79"/>
      <c r="D158" s="79"/>
      <c r="E158" s="79"/>
      <c r="F158" s="79"/>
      <c r="G158" s="79"/>
      <c r="H158" s="124"/>
      <c r="I158" s="124"/>
      <c r="J158" s="124"/>
      <c r="K158" s="124"/>
      <c r="L158" s="124"/>
      <c r="M158" s="142"/>
      <c r="N158" s="142"/>
      <c r="O158" s="142"/>
      <c r="P158" s="142"/>
      <c r="Q158" s="142"/>
    </row>
    <row r="159" spans="1:17" s="58" customFormat="1" ht="18" customHeight="1" x14ac:dyDescent="0.45">
      <c r="A159" s="79"/>
      <c r="B159" s="79"/>
      <c r="C159" s="79"/>
      <c r="D159" s="79"/>
      <c r="E159" s="79"/>
      <c r="F159" s="79"/>
      <c r="G159" s="79"/>
      <c r="H159" s="124"/>
      <c r="I159" s="124"/>
      <c r="J159" s="124"/>
      <c r="K159" s="124"/>
      <c r="L159" s="124"/>
      <c r="M159" s="142"/>
      <c r="N159" s="142"/>
      <c r="O159" s="142"/>
      <c r="P159" s="142"/>
      <c r="Q159" s="142"/>
    </row>
    <row r="160" spans="1:17" s="58" customFormat="1" ht="18" customHeight="1" x14ac:dyDescent="0.45">
      <c r="A160" s="79"/>
      <c r="B160" s="79"/>
      <c r="C160" s="79"/>
      <c r="D160" s="79"/>
      <c r="E160" s="79"/>
      <c r="F160" s="79"/>
      <c r="G160" s="79"/>
      <c r="H160" s="124"/>
      <c r="I160" s="124"/>
      <c r="J160" s="124"/>
      <c r="K160" s="124"/>
      <c r="L160" s="124"/>
      <c r="M160" s="142"/>
      <c r="N160" s="142"/>
      <c r="O160" s="142"/>
      <c r="P160" s="142"/>
      <c r="Q160" s="142"/>
    </row>
    <row r="161" spans="1:17" s="58" customFormat="1" ht="18" customHeight="1" x14ac:dyDescent="0.45">
      <c r="A161" s="79"/>
      <c r="B161" s="79"/>
      <c r="C161" s="79"/>
      <c r="D161" s="79"/>
      <c r="E161" s="79"/>
      <c r="F161" s="79"/>
      <c r="G161" s="79"/>
      <c r="H161" s="124"/>
      <c r="I161" s="124"/>
      <c r="J161" s="124"/>
      <c r="K161" s="124"/>
      <c r="L161" s="124"/>
      <c r="M161" s="142"/>
      <c r="N161" s="142"/>
      <c r="O161" s="142"/>
      <c r="P161" s="142"/>
      <c r="Q161" s="142"/>
    </row>
    <row r="162" spans="1:17" s="58" customFormat="1" ht="18" customHeight="1" x14ac:dyDescent="0.45">
      <c r="A162" s="79"/>
      <c r="B162" s="79"/>
      <c r="C162" s="79"/>
      <c r="D162" s="79"/>
      <c r="E162" s="79"/>
      <c r="F162" s="79"/>
      <c r="G162" s="79"/>
      <c r="H162" s="124"/>
      <c r="I162" s="124"/>
      <c r="J162" s="124"/>
      <c r="K162" s="124"/>
      <c r="L162" s="124"/>
      <c r="M162" s="142"/>
      <c r="N162" s="142"/>
      <c r="O162" s="142"/>
      <c r="P162" s="142"/>
      <c r="Q162" s="142"/>
    </row>
    <row r="163" spans="1:17" s="58" customFormat="1" ht="18" customHeight="1" x14ac:dyDescent="0.45">
      <c r="A163" s="79"/>
      <c r="B163" s="79"/>
      <c r="C163" s="79"/>
      <c r="D163" s="79"/>
      <c r="E163" s="79"/>
      <c r="F163" s="79"/>
      <c r="G163" s="79"/>
      <c r="H163" s="124"/>
      <c r="I163" s="124"/>
      <c r="J163" s="124"/>
      <c r="K163" s="124"/>
      <c r="L163" s="124"/>
      <c r="M163" s="142"/>
      <c r="N163" s="142"/>
      <c r="O163" s="142"/>
      <c r="P163" s="142"/>
      <c r="Q163" s="142"/>
    </row>
    <row r="164" spans="1:17" s="58" customFormat="1" ht="18" customHeight="1" x14ac:dyDescent="0.45">
      <c r="A164" s="79"/>
      <c r="B164" s="79"/>
      <c r="C164" s="79"/>
      <c r="D164" s="79"/>
      <c r="E164" s="79"/>
      <c r="F164" s="79"/>
      <c r="G164" s="79"/>
      <c r="H164" s="124"/>
      <c r="I164" s="124"/>
      <c r="J164" s="124"/>
      <c r="K164" s="124"/>
      <c r="L164" s="124"/>
      <c r="M164" s="142"/>
      <c r="N164" s="142"/>
      <c r="O164" s="142"/>
      <c r="P164" s="142"/>
      <c r="Q164" s="142"/>
    </row>
    <row r="165" spans="1:17" s="58" customFormat="1" ht="18" customHeight="1" x14ac:dyDescent="0.45">
      <c r="A165" s="79"/>
      <c r="B165" s="79"/>
      <c r="C165" s="79"/>
      <c r="D165" s="79"/>
      <c r="E165" s="79"/>
      <c r="F165" s="79"/>
      <c r="G165" s="79"/>
      <c r="H165" s="124"/>
      <c r="I165" s="124"/>
      <c r="J165" s="124"/>
      <c r="K165" s="124"/>
      <c r="L165" s="124"/>
      <c r="M165" s="142"/>
      <c r="N165" s="142"/>
      <c r="O165" s="142"/>
      <c r="P165" s="142"/>
      <c r="Q165" s="142"/>
    </row>
    <row r="166" spans="1:17" s="58" customFormat="1" ht="18" customHeight="1" x14ac:dyDescent="0.45">
      <c r="A166" s="79"/>
      <c r="B166" s="79"/>
      <c r="C166" s="79"/>
      <c r="D166" s="79"/>
      <c r="E166" s="79"/>
      <c r="F166" s="79"/>
      <c r="G166" s="79"/>
      <c r="H166" s="124"/>
      <c r="I166" s="124"/>
      <c r="J166" s="124"/>
      <c r="K166" s="124"/>
      <c r="L166" s="124"/>
      <c r="M166" s="142"/>
      <c r="N166" s="142"/>
      <c r="O166" s="142"/>
      <c r="P166" s="142"/>
      <c r="Q166" s="142"/>
    </row>
    <row r="167" spans="1:17" s="58" customFormat="1" ht="18" customHeight="1" x14ac:dyDescent="0.45">
      <c r="A167" s="79"/>
      <c r="B167" s="79"/>
      <c r="C167" s="79"/>
      <c r="D167" s="79"/>
      <c r="E167" s="79"/>
      <c r="F167" s="79"/>
      <c r="G167" s="79"/>
      <c r="H167" s="124"/>
      <c r="I167" s="124"/>
      <c r="J167" s="124"/>
      <c r="K167" s="124"/>
      <c r="L167" s="124"/>
      <c r="M167" s="142"/>
      <c r="N167" s="142"/>
      <c r="O167" s="142"/>
      <c r="P167" s="142"/>
      <c r="Q167" s="142"/>
    </row>
    <row r="168" spans="1:17" s="58" customFormat="1" ht="18" customHeight="1" x14ac:dyDescent="0.45">
      <c r="A168" s="79"/>
      <c r="B168" s="79"/>
      <c r="C168" s="79"/>
      <c r="D168" s="79"/>
      <c r="E168" s="79"/>
      <c r="F168" s="79"/>
      <c r="G168" s="79"/>
      <c r="H168" s="124"/>
      <c r="I168" s="124"/>
      <c r="J168" s="124"/>
      <c r="K168" s="124"/>
      <c r="L168" s="124"/>
      <c r="M168" s="142"/>
      <c r="N168" s="142"/>
      <c r="O168" s="142"/>
      <c r="P168" s="142"/>
      <c r="Q168" s="142"/>
    </row>
    <row r="169" spans="1:17" s="58" customFormat="1" ht="18" customHeight="1" x14ac:dyDescent="0.45">
      <c r="A169" s="79"/>
      <c r="B169" s="79"/>
      <c r="C169" s="79"/>
      <c r="D169" s="79"/>
      <c r="E169" s="79"/>
      <c r="F169" s="79"/>
      <c r="G169" s="79"/>
      <c r="H169" s="124"/>
      <c r="I169" s="124"/>
      <c r="J169" s="124"/>
      <c r="K169" s="124"/>
      <c r="L169" s="124"/>
      <c r="M169" s="142"/>
      <c r="N169" s="142"/>
      <c r="O169" s="142"/>
      <c r="P169" s="142"/>
      <c r="Q169" s="142"/>
    </row>
    <row r="170" spans="1:17" s="58" customFormat="1" ht="18" customHeight="1" x14ac:dyDescent="0.45">
      <c r="A170" s="79"/>
      <c r="B170" s="79"/>
      <c r="C170" s="79"/>
      <c r="D170" s="79"/>
      <c r="E170" s="79"/>
      <c r="F170" s="79"/>
      <c r="G170" s="79"/>
      <c r="H170" s="124"/>
      <c r="I170" s="124"/>
      <c r="J170" s="124"/>
      <c r="K170" s="124"/>
      <c r="L170" s="124"/>
      <c r="M170" s="142"/>
      <c r="N170" s="142"/>
      <c r="O170" s="142"/>
      <c r="P170" s="142"/>
      <c r="Q170" s="142"/>
    </row>
    <row r="171" spans="1:17" s="58" customFormat="1" ht="18" customHeight="1" x14ac:dyDescent="0.45">
      <c r="A171" s="79"/>
      <c r="B171" s="79"/>
      <c r="C171" s="79"/>
      <c r="D171" s="79"/>
      <c r="E171" s="79"/>
      <c r="F171" s="79"/>
      <c r="G171" s="79"/>
      <c r="H171" s="124"/>
      <c r="I171" s="124"/>
      <c r="J171" s="124"/>
      <c r="K171" s="124"/>
      <c r="L171" s="124"/>
      <c r="M171" s="142"/>
      <c r="N171" s="142"/>
      <c r="O171" s="142"/>
      <c r="P171" s="142"/>
      <c r="Q171" s="142"/>
    </row>
    <row r="172" spans="1:17" s="58" customFormat="1" ht="18" customHeight="1" x14ac:dyDescent="0.45">
      <c r="A172" s="79"/>
      <c r="B172" s="79"/>
      <c r="C172" s="79"/>
      <c r="D172" s="79"/>
      <c r="E172" s="79"/>
      <c r="F172" s="79"/>
      <c r="G172" s="79"/>
      <c r="H172" s="124"/>
      <c r="I172" s="124"/>
      <c r="J172" s="124"/>
      <c r="K172" s="124"/>
      <c r="L172" s="124"/>
      <c r="M172" s="142"/>
      <c r="N172" s="142"/>
      <c r="O172" s="142"/>
      <c r="P172" s="142"/>
      <c r="Q172" s="142"/>
    </row>
    <row r="173" spans="1:17" s="58" customFormat="1" ht="18" customHeight="1" x14ac:dyDescent="0.45">
      <c r="A173" s="79"/>
      <c r="B173" s="79"/>
      <c r="C173" s="79"/>
      <c r="D173" s="79"/>
      <c r="E173" s="79"/>
      <c r="F173" s="79"/>
      <c r="G173" s="79"/>
      <c r="H173" s="124"/>
      <c r="I173" s="124"/>
      <c r="J173" s="124"/>
      <c r="K173" s="124"/>
      <c r="L173" s="124"/>
      <c r="M173" s="142"/>
      <c r="N173" s="142"/>
      <c r="O173" s="142"/>
      <c r="P173" s="142"/>
      <c r="Q173" s="142"/>
    </row>
    <row r="174" spans="1:17" s="58" customFormat="1" ht="18" customHeight="1" x14ac:dyDescent="0.45">
      <c r="A174" s="79"/>
      <c r="B174" s="79"/>
      <c r="C174" s="79"/>
      <c r="D174" s="79"/>
      <c r="E174" s="79"/>
      <c r="F174" s="79"/>
      <c r="G174" s="79"/>
      <c r="H174" s="124"/>
      <c r="I174" s="124"/>
      <c r="J174" s="124"/>
      <c r="K174" s="124"/>
      <c r="L174" s="124"/>
      <c r="M174" s="142"/>
      <c r="N174" s="142"/>
      <c r="O174" s="142"/>
      <c r="P174" s="142"/>
      <c r="Q174" s="142"/>
    </row>
    <row r="175" spans="1:17" s="58" customFormat="1" ht="18" customHeight="1" x14ac:dyDescent="0.45">
      <c r="A175" s="79"/>
      <c r="B175" s="79"/>
      <c r="C175" s="79"/>
      <c r="D175" s="79"/>
      <c r="E175" s="79"/>
      <c r="F175" s="79"/>
      <c r="G175" s="79"/>
      <c r="H175" s="124"/>
      <c r="I175" s="124"/>
      <c r="J175" s="124"/>
      <c r="K175" s="124"/>
      <c r="L175" s="124"/>
      <c r="M175" s="142"/>
      <c r="N175" s="142"/>
      <c r="O175" s="142"/>
      <c r="P175" s="142"/>
      <c r="Q175" s="142"/>
    </row>
    <row r="176" spans="1:17" s="58" customFormat="1" ht="18" customHeight="1" x14ac:dyDescent="0.45">
      <c r="A176" s="79"/>
      <c r="B176" s="79"/>
      <c r="C176" s="79"/>
      <c r="D176" s="79"/>
      <c r="E176" s="79"/>
      <c r="F176" s="79"/>
      <c r="G176" s="79"/>
      <c r="H176" s="124"/>
      <c r="I176" s="124"/>
      <c r="J176" s="124"/>
      <c r="K176" s="124"/>
      <c r="L176" s="124"/>
      <c r="M176" s="142"/>
      <c r="N176" s="142"/>
      <c r="O176" s="142"/>
      <c r="P176" s="142"/>
      <c r="Q176" s="142"/>
    </row>
    <row r="177" spans="1:17" s="58" customFormat="1" ht="18" customHeight="1" x14ac:dyDescent="0.45">
      <c r="A177" s="79"/>
      <c r="B177" s="79"/>
      <c r="C177" s="79"/>
      <c r="D177" s="79"/>
      <c r="E177" s="79"/>
      <c r="F177" s="79"/>
      <c r="G177" s="79"/>
      <c r="H177" s="124"/>
      <c r="I177" s="124"/>
      <c r="J177" s="124"/>
      <c r="K177" s="124"/>
      <c r="L177" s="124"/>
      <c r="M177" s="142"/>
      <c r="N177" s="142"/>
      <c r="O177" s="142"/>
      <c r="P177" s="142"/>
      <c r="Q177" s="142"/>
    </row>
    <row r="178" spans="1:17" s="58" customFormat="1" ht="18" customHeight="1" x14ac:dyDescent="0.45">
      <c r="A178" s="79"/>
      <c r="B178" s="79"/>
      <c r="C178" s="79"/>
      <c r="D178" s="79"/>
      <c r="E178" s="79"/>
      <c r="F178" s="79"/>
      <c r="G178" s="79"/>
      <c r="H178" s="124"/>
      <c r="I178" s="124"/>
      <c r="J178" s="124"/>
      <c r="K178" s="124"/>
      <c r="L178" s="124"/>
      <c r="M178" s="142"/>
      <c r="N178" s="142"/>
      <c r="O178" s="142"/>
      <c r="P178" s="142"/>
      <c r="Q178" s="142"/>
    </row>
    <row r="179" spans="1:17" s="58" customFormat="1" ht="18" customHeight="1" x14ac:dyDescent="0.45">
      <c r="A179" s="79"/>
      <c r="B179" s="79"/>
      <c r="C179" s="79"/>
      <c r="D179" s="79"/>
      <c r="E179" s="79"/>
      <c r="F179" s="79"/>
      <c r="G179" s="79"/>
      <c r="H179" s="124"/>
      <c r="I179" s="124"/>
      <c r="J179" s="124"/>
      <c r="K179" s="124"/>
      <c r="L179" s="124"/>
      <c r="M179" s="142"/>
      <c r="N179" s="142"/>
      <c r="O179" s="142"/>
      <c r="P179" s="142"/>
      <c r="Q179" s="142"/>
    </row>
    <row r="180" spans="1:17" s="58" customFormat="1" ht="18" customHeight="1" x14ac:dyDescent="0.45">
      <c r="A180" s="79"/>
      <c r="B180" s="79"/>
      <c r="C180" s="79"/>
      <c r="D180" s="79"/>
      <c r="E180" s="79"/>
      <c r="F180" s="79"/>
      <c r="G180" s="79"/>
      <c r="H180" s="124"/>
      <c r="I180" s="124"/>
      <c r="J180" s="124"/>
      <c r="K180" s="124"/>
      <c r="L180" s="124"/>
      <c r="M180" s="142"/>
      <c r="N180" s="142"/>
      <c r="O180" s="142"/>
      <c r="P180" s="142"/>
      <c r="Q180" s="142"/>
    </row>
    <row r="181" spans="1:17" s="58" customFormat="1" ht="18" customHeight="1" x14ac:dyDescent="0.45">
      <c r="A181" s="79"/>
      <c r="B181" s="79"/>
      <c r="C181" s="79"/>
      <c r="D181" s="79"/>
      <c r="E181" s="79"/>
      <c r="F181" s="79"/>
      <c r="G181" s="79"/>
      <c r="H181" s="124"/>
      <c r="I181" s="124"/>
      <c r="J181" s="124"/>
      <c r="K181" s="124"/>
      <c r="L181" s="124"/>
      <c r="M181" s="142"/>
      <c r="N181" s="142"/>
      <c r="O181" s="142"/>
      <c r="P181" s="142"/>
      <c r="Q181" s="142"/>
    </row>
    <row r="182" spans="1:17" s="58" customFormat="1" ht="18" customHeight="1" x14ac:dyDescent="0.45">
      <c r="A182" s="79"/>
      <c r="B182" s="79"/>
      <c r="C182" s="79"/>
      <c r="D182" s="79"/>
      <c r="E182" s="79"/>
      <c r="F182" s="79"/>
      <c r="G182" s="79"/>
      <c r="H182" s="124"/>
      <c r="I182" s="124"/>
      <c r="J182" s="124"/>
      <c r="K182" s="124"/>
      <c r="L182" s="124"/>
      <c r="M182" s="142"/>
      <c r="N182" s="142"/>
      <c r="O182" s="142"/>
      <c r="P182" s="142"/>
      <c r="Q182" s="142"/>
    </row>
    <row r="183" spans="1:17" s="58" customFormat="1" ht="18" customHeight="1" x14ac:dyDescent="0.45">
      <c r="A183" s="79"/>
      <c r="B183" s="79"/>
      <c r="C183" s="79"/>
      <c r="D183" s="79"/>
      <c r="E183" s="79"/>
      <c r="F183" s="79"/>
      <c r="G183" s="79"/>
      <c r="H183" s="124"/>
      <c r="I183" s="124"/>
      <c r="J183" s="124"/>
      <c r="K183" s="124"/>
      <c r="L183" s="124"/>
      <c r="M183" s="142"/>
      <c r="N183" s="142"/>
      <c r="O183" s="142"/>
      <c r="P183" s="142"/>
      <c r="Q183" s="142"/>
    </row>
    <row r="184" spans="1:17" s="58" customFormat="1" ht="18" customHeight="1" x14ac:dyDescent="0.45">
      <c r="A184" s="79"/>
      <c r="B184" s="79"/>
      <c r="C184" s="79"/>
      <c r="D184" s="79"/>
      <c r="E184" s="79"/>
      <c r="F184" s="79"/>
      <c r="G184" s="79"/>
      <c r="H184" s="124"/>
      <c r="I184" s="124"/>
      <c r="J184" s="124"/>
      <c r="K184" s="124"/>
      <c r="L184" s="124"/>
      <c r="M184" s="142"/>
      <c r="N184" s="142"/>
      <c r="O184" s="142"/>
      <c r="P184" s="142"/>
      <c r="Q184" s="142"/>
    </row>
    <row r="185" spans="1:17" s="58" customFormat="1" ht="18" customHeight="1" x14ac:dyDescent="0.45">
      <c r="A185" s="79"/>
      <c r="B185" s="79"/>
      <c r="C185" s="79"/>
      <c r="D185" s="79"/>
      <c r="E185" s="79"/>
      <c r="F185" s="79"/>
      <c r="G185" s="79"/>
      <c r="H185" s="124"/>
      <c r="I185" s="124"/>
      <c r="J185" s="124"/>
      <c r="K185" s="124"/>
      <c r="L185" s="124"/>
      <c r="M185" s="142"/>
      <c r="N185" s="142"/>
      <c r="O185" s="142"/>
      <c r="P185" s="142"/>
      <c r="Q185" s="142"/>
    </row>
    <row r="186" spans="1:17" s="58" customFormat="1" ht="18" customHeight="1" x14ac:dyDescent="0.45">
      <c r="A186" s="79"/>
      <c r="B186" s="79"/>
      <c r="C186" s="79"/>
      <c r="D186" s="79"/>
      <c r="E186" s="79"/>
      <c r="F186" s="79"/>
      <c r="G186" s="79"/>
      <c r="H186" s="124"/>
      <c r="I186" s="124"/>
      <c r="J186" s="124"/>
      <c r="K186" s="124"/>
      <c r="L186" s="124"/>
      <c r="M186" s="142"/>
      <c r="N186" s="142"/>
      <c r="O186" s="142"/>
      <c r="P186" s="142"/>
      <c r="Q186" s="142"/>
    </row>
    <row r="187" spans="1:17" s="58" customFormat="1" ht="18" customHeight="1" x14ac:dyDescent="0.45">
      <c r="A187" s="79"/>
      <c r="B187" s="79"/>
      <c r="C187" s="79"/>
      <c r="D187" s="79"/>
      <c r="E187" s="79"/>
      <c r="F187" s="79"/>
      <c r="G187" s="79"/>
      <c r="H187" s="124"/>
      <c r="I187" s="124"/>
      <c r="J187" s="124"/>
      <c r="K187" s="124"/>
      <c r="L187" s="124"/>
      <c r="M187" s="142"/>
      <c r="N187" s="142"/>
      <c r="O187" s="142"/>
      <c r="P187" s="142"/>
      <c r="Q187" s="142"/>
    </row>
    <row r="188" spans="1:17" s="58" customFormat="1" ht="18" customHeight="1" x14ac:dyDescent="0.45">
      <c r="A188" s="79"/>
      <c r="B188" s="79"/>
      <c r="C188" s="79"/>
      <c r="D188" s="79"/>
      <c r="E188" s="79"/>
      <c r="F188" s="79"/>
      <c r="G188" s="79"/>
      <c r="H188" s="124"/>
      <c r="I188" s="124"/>
      <c r="J188" s="124"/>
      <c r="K188" s="124"/>
      <c r="L188" s="124"/>
      <c r="M188" s="142"/>
      <c r="N188" s="142"/>
      <c r="O188" s="142"/>
      <c r="P188" s="142"/>
      <c r="Q188" s="142"/>
    </row>
    <row r="189" spans="1:17" s="58" customFormat="1" ht="18" customHeight="1" x14ac:dyDescent="0.45">
      <c r="A189" s="79"/>
      <c r="B189" s="79"/>
      <c r="C189" s="79"/>
      <c r="D189" s="79"/>
      <c r="E189" s="79"/>
      <c r="F189" s="79"/>
      <c r="G189" s="79"/>
      <c r="H189" s="124"/>
      <c r="I189" s="124"/>
      <c r="J189" s="124"/>
      <c r="K189" s="124"/>
      <c r="L189" s="124"/>
      <c r="M189" s="142"/>
      <c r="N189" s="142"/>
      <c r="O189" s="142"/>
      <c r="P189" s="142"/>
      <c r="Q189" s="142"/>
    </row>
    <row r="190" spans="1:17" s="58" customFormat="1" ht="18" customHeight="1" x14ac:dyDescent="0.45">
      <c r="A190" s="79"/>
      <c r="B190" s="79"/>
      <c r="C190" s="79"/>
      <c r="D190" s="79"/>
      <c r="E190" s="79"/>
      <c r="F190" s="79"/>
      <c r="G190" s="79"/>
      <c r="H190" s="124"/>
      <c r="I190" s="124"/>
      <c r="J190" s="124"/>
      <c r="K190" s="124"/>
      <c r="L190" s="124"/>
      <c r="M190" s="142"/>
      <c r="N190" s="142"/>
      <c r="O190" s="142"/>
      <c r="P190" s="142"/>
      <c r="Q190" s="142"/>
    </row>
    <row r="191" spans="1:17" s="58" customFormat="1" ht="18" customHeight="1" x14ac:dyDescent="0.45">
      <c r="A191" s="79"/>
      <c r="B191" s="79"/>
      <c r="C191" s="79"/>
      <c r="D191" s="79"/>
      <c r="E191" s="79"/>
      <c r="F191" s="79"/>
      <c r="G191" s="79"/>
      <c r="H191" s="124"/>
      <c r="I191" s="124"/>
      <c r="J191" s="124"/>
      <c r="K191" s="124"/>
      <c r="L191" s="124"/>
      <c r="M191" s="142"/>
      <c r="N191" s="142"/>
      <c r="O191" s="142"/>
      <c r="P191" s="142"/>
      <c r="Q191" s="142"/>
    </row>
    <row r="192" spans="1:17" s="58" customFormat="1" ht="18" customHeight="1" x14ac:dyDescent="0.45">
      <c r="A192" s="79"/>
      <c r="B192" s="79"/>
      <c r="C192" s="79"/>
      <c r="D192" s="79"/>
      <c r="E192" s="79"/>
      <c r="F192" s="79"/>
      <c r="G192" s="79"/>
      <c r="H192" s="124"/>
      <c r="I192" s="124"/>
      <c r="J192" s="124"/>
      <c r="K192" s="124"/>
      <c r="L192" s="124"/>
      <c r="M192" s="142"/>
      <c r="N192" s="142"/>
      <c r="O192" s="142"/>
      <c r="P192" s="142"/>
      <c r="Q192" s="142"/>
    </row>
    <row r="193" spans="1:17" s="58" customFormat="1" ht="18" customHeight="1" x14ac:dyDescent="0.45">
      <c r="A193" s="79"/>
      <c r="B193" s="79"/>
      <c r="C193" s="79"/>
      <c r="D193" s="79"/>
      <c r="E193" s="79"/>
      <c r="F193" s="79"/>
      <c r="G193" s="79"/>
      <c r="H193" s="124"/>
      <c r="I193" s="124"/>
      <c r="J193" s="124"/>
      <c r="K193" s="124"/>
      <c r="L193" s="124"/>
      <c r="M193" s="142"/>
      <c r="N193" s="142"/>
      <c r="O193" s="142"/>
      <c r="P193" s="142"/>
      <c r="Q193" s="142"/>
    </row>
    <row r="194" spans="1:17" s="58" customFormat="1" ht="18" customHeight="1" x14ac:dyDescent="0.45">
      <c r="A194" s="79"/>
      <c r="B194" s="79"/>
      <c r="C194" s="79"/>
      <c r="D194" s="79"/>
      <c r="E194" s="79"/>
      <c r="F194" s="79"/>
      <c r="G194" s="79"/>
      <c r="H194" s="124"/>
      <c r="I194" s="124"/>
      <c r="J194" s="124"/>
      <c r="K194" s="124"/>
      <c r="L194" s="124"/>
      <c r="M194" s="142"/>
      <c r="N194" s="142"/>
      <c r="O194" s="142"/>
      <c r="P194" s="142"/>
      <c r="Q194" s="142"/>
    </row>
    <row r="195" spans="1:17" s="58" customFormat="1" ht="18" customHeight="1" x14ac:dyDescent="0.45">
      <c r="A195" s="79"/>
      <c r="B195" s="79"/>
      <c r="C195" s="79"/>
      <c r="D195" s="79"/>
      <c r="E195" s="79"/>
      <c r="F195" s="79"/>
      <c r="G195" s="79"/>
      <c r="H195" s="124"/>
      <c r="I195" s="124"/>
      <c r="J195" s="124"/>
      <c r="K195" s="124"/>
      <c r="L195" s="124"/>
      <c r="M195" s="142"/>
      <c r="N195" s="142"/>
      <c r="O195" s="142"/>
      <c r="P195" s="142"/>
      <c r="Q195" s="142"/>
    </row>
    <row r="196" spans="1:17" s="58" customFormat="1" ht="18" customHeight="1" x14ac:dyDescent="0.45">
      <c r="A196" s="79"/>
      <c r="B196" s="79"/>
      <c r="C196" s="79"/>
      <c r="D196" s="79"/>
      <c r="E196" s="79"/>
      <c r="F196" s="79"/>
      <c r="G196" s="79"/>
      <c r="H196" s="124"/>
      <c r="I196" s="124"/>
      <c r="J196" s="124"/>
      <c r="K196" s="124"/>
      <c r="L196" s="124"/>
      <c r="M196" s="142"/>
      <c r="N196" s="142"/>
      <c r="O196" s="142"/>
      <c r="P196" s="142"/>
      <c r="Q196" s="142"/>
    </row>
    <row r="197" spans="1:17" s="58" customFormat="1" ht="18" customHeight="1" x14ac:dyDescent="0.45">
      <c r="A197" s="79"/>
      <c r="B197" s="79"/>
      <c r="C197" s="79"/>
      <c r="D197" s="79"/>
      <c r="E197" s="79"/>
      <c r="F197" s="79"/>
      <c r="G197" s="79"/>
      <c r="H197" s="124"/>
      <c r="I197" s="124"/>
      <c r="J197" s="124"/>
      <c r="K197" s="124"/>
      <c r="L197" s="124"/>
      <c r="M197" s="142"/>
      <c r="N197" s="142"/>
      <c r="O197" s="142"/>
      <c r="P197" s="142"/>
      <c r="Q197" s="142"/>
    </row>
    <row r="198" spans="1:17" s="58" customFormat="1" ht="18" customHeight="1" x14ac:dyDescent="0.45">
      <c r="A198" s="79"/>
      <c r="B198" s="79"/>
      <c r="C198" s="79"/>
      <c r="D198" s="79"/>
      <c r="E198" s="79"/>
      <c r="F198" s="79"/>
      <c r="G198" s="79"/>
      <c r="H198" s="124"/>
      <c r="I198" s="124"/>
      <c r="J198" s="124"/>
      <c r="K198" s="124"/>
      <c r="L198" s="124"/>
      <c r="M198" s="142"/>
      <c r="N198" s="142"/>
      <c r="O198" s="142"/>
      <c r="P198" s="142"/>
      <c r="Q198" s="142"/>
    </row>
    <row r="199" spans="1:17" s="58" customFormat="1" ht="18" customHeight="1" x14ac:dyDescent="0.45">
      <c r="A199" s="79"/>
      <c r="B199" s="79"/>
      <c r="C199" s="79"/>
      <c r="D199" s="79"/>
      <c r="E199" s="79"/>
      <c r="F199" s="79"/>
      <c r="G199" s="79"/>
      <c r="H199" s="124"/>
      <c r="I199" s="124"/>
      <c r="J199" s="124"/>
      <c r="K199" s="124"/>
      <c r="L199" s="124"/>
      <c r="M199" s="142"/>
      <c r="N199" s="142"/>
      <c r="O199" s="142"/>
      <c r="P199" s="142"/>
      <c r="Q199" s="142"/>
    </row>
    <row r="200" spans="1:17" s="58" customFormat="1" ht="18" customHeight="1" x14ac:dyDescent="0.45">
      <c r="A200" s="79"/>
      <c r="B200" s="79"/>
      <c r="C200" s="79"/>
      <c r="D200" s="79"/>
      <c r="E200" s="79"/>
      <c r="F200" s="79"/>
      <c r="G200" s="79"/>
      <c r="H200" s="124"/>
      <c r="I200" s="124"/>
      <c r="J200" s="124"/>
      <c r="K200" s="124"/>
      <c r="L200" s="124"/>
      <c r="M200" s="142"/>
      <c r="N200" s="142"/>
      <c r="O200" s="142"/>
      <c r="P200" s="142"/>
      <c r="Q200" s="142"/>
    </row>
    <row r="201" spans="1:17" s="58" customFormat="1" ht="18" customHeight="1" x14ac:dyDescent="0.45">
      <c r="A201" s="79"/>
      <c r="B201" s="79"/>
      <c r="C201" s="79"/>
      <c r="D201" s="79"/>
      <c r="E201" s="79"/>
      <c r="F201" s="79"/>
      <c r="G201" s="79"/>
      <c r="H201" s="124"/>
      <c r="I201" s="124"/>
      <c r="J201" s="124"/>
      <c r="K201" s="124"/>
      <c r="L201" s="124"/>
      <c r="M201" s="142"/>
      <c r="N201" s="142"/>
      <c r="O201" s="142"/>
      <c r="P201" s="142"/>
      <c r="Q201" s="142"/>
    </row>
    <row r="202" spans="1:17" s="58" customFormat="1" ht="18" customHeight="1" x14ac:dyDescent="0.45">
      <c r="A202" s="79"/>
      <c r="B202" s="79"/>
      <c r="C202" s="79"/>
      <c r="D202" s="79"/>
      <c r="E202" s="79"/>
      <c r="F202" s="79"/>
      <c r="G202" s="79"/>
      <c r="H202" s="124"/>
      <c r="I202" s="124"/>
      <c r="J202" s="124"/>
      <c r="K202" s="124"/>
      <c r="L202" s="124"/>
      <c r="M202" s="142"/>
      <c r="N202" s="142"/>
      <c r="O202" s="142"/>
      <c r="P202" s="142"/>
      <c r="Q202" s="142"/>
    </row>
    <row r="203" spans="1:17" s="58" customFormat="1" ht="18" customHeight="1" x14ac:dyDescent="0.45">
      <c r="A203" s="79"/>
      <c r="B203" s="79"/>
      <c r="C203" s="79"/>
      <c r="D203" s="79"/>
      <c r="E203" s="79"/>
      <c r="F203" s="79"/>
      <c r="G203" s="79"/>
      <c r="H203" s="124"/>
      <c r="I203" s="124"/>
      <c r="J203" s="124"/>
      <c r="K203" s="124"/>
      <c r="L203" s="124"/>
      <c r="M203" s="142"/>
      <c r="N203" s="142"/>
      <c r="O203" s="142"/>
      <c r="P203" s="142"/>
      <c r="Q203" s="142"/>
    </row>
    <row r="204" spans="1:17" s="58" customFormat="1" ht="18" customHeight="1" x14ac:dyDescent="0.45">
      <c r="A204" s="79"/>
      <c r="B204" s="79"/>
      <c r="C204" s="79"/>
      <c r="D204" s="79"/>
      <c r="E204" s="79"/>
      <c r="F204" s="79"/>
      <c r="G204" s="79"/>
      <c r="H204" s="124"/>
      <c r="I204" s="124"/>
      <c r="J204" s="124"/>
      <c r="K204" s="124"/>
      <c r="L204" s="124"/>
      <c r="M204" s="142"/>
      <c r="N204" s="142"/>
      <c r="O204" s="142"/>
      <c r="P204" s="142"/>
      <c r="Q204" s="142"/>
    </row>
    <row r="205" spans="1:17" s="58" customFormat="1" ht="18" customHeight="1" x14ac:dyDescent="0.45">
      <c r="A205" s="79"/>
      <c r="B205" s="79"/>
      <c r="C205" s="79"/>
      <c r="D205" s="79"/>
      <c r="E205" s="79"/>
      <c r="F205" s="79"/>
      <c r="G205" s="79"/>
      <c r="H205" s="124"/>
      <c r="I205" s="124"/>
      <c r="J205" s="124"/>
      <c r="K205" s="124"/>
      <c r="L205" s="124"/>
      <c r="M205" s="142"/>
      <c r="N205" s="142"/>
      <c r="O205" s="142"/>
      <c r="P205" s="142"/>
      <c r="Q205" s="142"/>
    </row>
    <row r="206" spans="1:17" s="58" customFormat="1" ht="18" customHeight="1" x14ac:dyDescent="0.45">
      <c r="A206" s="79"/>
      <c r="B206" s="79"/>
      <c r="C206" s="79"/>
      <c r="D206" s="79"/>
      <c r="E206" s="79"/>
      <c r="F206" s="79"/>
      <c r="G206" s="79"/>
      <c r="H206" s="124"/>
      <c r="I206" s="124"/>
      <c r="J206" s="124"/>
      <c r="K206" s="124"/>
      <c r="L206" s="124"/>
      <c r="M206" s="142"/>
      <c r="N206" s="142"/>
      <c r="O206" s="142"/>
      <c r="P206" s="142"/>
      <c r="Q206" s="142"/>
    </row>
    <row r="207" spans="1:17" s="58" customFormat="1" ht="18" customHeight="1" x14ac:dyDescent="0.45">
      <c r="A207" s="79"/>
      <c r="B207" s="79"/>
      <c r="C207" s="79"/>
      <c r="D207" s="79"/>
      <c r="E207" s="79"/>
      <c r="F207" s="79"/>
      <c r="G207" s="79"/>
      <c r="H207" s="124"/>
      <c r="I207" s="124"/>
      <c r="J207" s="124"/>
      <c r="K207" s="124"/>
      <c r="L207" s="124"/>
      <c r="M207" s="142"/>
      <c r="N207" s="142"/>
      <c r="O207" s="142"/>
      <c r="P207" s="142"/>
      <c r="Q207" s="142"/>
    </row>
    <row r="208" spans="1:17" s="58" customFormat="1" ht="18" customHeight="1" x14ac:dyDescent="0.45">
      <c r="A208" s="79"/>
      <c r="B208" s="79"/>
      <c r="C208" s="79"/>
      <c r="D208" s="79"/>
      <c r="E208" s="79"/>
      <c r="F208" s="79"/>
      <c r="G208" s="79"/>
      <c r="H208" s="124"/>
      <c r="I208" s="124"/>
      <c r="J208" s="124"/>
      <c r="K208" s="124"/>
      <c r="L208" s="124"/>
      <c r="M208" s="142"/>
      <c r="N208" s="142"/>
      <c r="O208" s="142"/>
      <c r="P208" s="142"/>
      <c r="Q208" s="142"/>
    </row>
    <row r="209" spans="1:17" s="58" customFormat="1" ht="18" customHeight="1" x14ac:dyDescent="0.45">
      <c r="A209" s="79"/>
      <c r="B209" s="79"/>
      <c r="C209" s="79"/>
      <c r="D209" s="79"/>
      <c r="E209" s="79"/>
      <c r="F209" s="79"/>
      <c r="G209" s="79"/>
      <c r="H209" s="124"/>
      <c r="I209" s="124"/>
      <c r="J209" s="124"/>
      <c r="K209" s="124"/>
      <c r="L209" s="124"/>
      <c r="M209" s="142"/>
      <c r="N209" s="142"/>
      <c r="O209" s="142"/>
      <c r="P209" s="142"/>
      <c r="Q209" s="142"/>
    </row>
    <row r="210" spans="1:17" s="58" customFormat="1" ht="18" customHeight="1" x14ac:dyDescent="0.45">
      <c r="A210" s="142"/>
      <c r="B210" s="142"/>
      <c r="C210" s="142"/>
      <c r="D210" s="142"/>
      <c r="E210" s="142"/>
      <c r="F210" s="142"/>
      <c r="G210" s="142"/>
      <c r="H210" s="124"/>
      <c r="I210" s="124"/>
      <c r="J210" s="124"/>
      <c r="K210" s="124"/>
      <c r="L210" s="124"/>
      <c r="M210" s="142"/>
      <c r="N210" s="142"/>
      <c r="O210" s="142"/>
      <c r="P210" s="142"/>
      <c r="Q210" s="142"/>
    </row>
    <row r="211" spans="1:17" s="58" customFormat="1" ht="18" customHeight="1" x14ac:dyDescent="0.45">
      <c r="A211" s="142"/>
      <c r="B211" s="142"/>
      <c r="C211" s="142"/>
      <c r="D211" s="142"/>
      <c r="E211" s="142"/>
      <c r="F211" s="142"/>
      <c r="G211" s="142"/>
      <c r="H211" s="124"/>
      <c r="I211" s="124"/>
      <c r="J211" s="124"/>
      <c r="K211" s="124"/>
      <c r="L211" s="124"/>
      <c r="M211" s="142"/>
      <c r="N211" s="142"/>
      <c r="O211" s="142"/>
      <c r="P211" s="142"/>
      <c r="Q211" s="142"/>
    </row>
    <row r="212" spans="1:17" s="58" customFormat="1" ht="18" customHeight="1" x14ac:dyDescent="0.45">
      <c r="A212" s="142"/>
      <c r="B212" s="142"/>
      <c r="C212" s="142"/>
      <c r="D212" s="142"/>
      <c r="E212" s="142"/>
      <c r="F212" s="142"/>
      <c r="G212" s="142"/>
      <c r="H212" s="124"/>
      <c r="I212" s="124"/>
      <c r="J212" s="124"/>
      <c r="K212" s="124"/>
      <c r="L212" s="124"/>
      <c r="M212" s="142"/>
      <c r="N212" s="142"/>
      <c r="O212" s="142"/>
      <c r="P212" s="142"/>
      <c r="Q212" s="142"/>
    </row>
    <row r="213" spans="1:17" s="58" customFormat="1" ht="18" customHeight="1" x14ac:dyDescent="0.45">
      <c r="A213" s="142"/>
      <c r="B213" s="142"/>
      <c r="C213" s="142"/>
      <c r="D213" s="142"/>
      <c r="E213" s="142"/>
      <c r="F213" s="142"/>
      <c r="G213" s="142"/>
      <c r="H213" s="124"/>
      <c r="I213" s="124"/>
      <c r="J213" s="124"/>
      <c r="K213" s="124"/>
      <c r="L213" s="124"/>
      <c r="M213" s="142"/>
      <c r="N213" s="142"/>
      <c r="O213" s="142"/>
      <c r="P213" s="142"/>
      <c r="Q213" s="142"/>
    </row>
    <row r="214" spans="1:17" s="58" customFormat="1" ht="18" customHeight="1" x14ac:dyDescent="0.45">
      <c r="A214" s="142"/>
      <c r="B214" s="142"/>
      <c r="C214" s="142"/>
      <c r="D214" s="142"/>
      <c r="E214" s="142"/>
      <c r="F214" s="142"/>
      <c r="G214" s="142"/>
      <c r="H214" s="124"/>
      <c r="I214" s="124"/>
      <c r="J214" s="124"/>
      <c r="K214" s="124"/>
      <c r="L214" s="124"/>
      <c r="M214" s="142"/>
      <c r="N214" s="142"/>
      <c r="O214" s="142"/>
      <c r="P214" s="142"/>
      <c r="Q214" s="142"/>
    </row>
    <row r="215" spans="1:17" s="58" customFormat="1" ht="18" customHeight="1" x14ac:dyDescent="0.45">
      <c r="A215" s="142"/>
      <c r="B215" s="142"/>
      <c r="C215" s="142"/>
      <c r="D215" s="142"/>
      <c r="E215" s="142"/>
      <c r="F215" s="142"/>
      <c r="G215" s="142"/>
      <c r="H215" s="124"/>
      <c r="I215" s="124"/>
      <c r="J215" s="124"/>
      <c r="K215" s="124"/>
      <c r="L215" s="124"/>
      <c r="M215" s="142"/>
      <c r="N215" s="142"/>
      <c r="O215" s="142"/>
      <c r="P215" s="142"/>
      <c r="Q215" s="142"/>
    </row>
    <row r="216" spans="1:17" s="58" customFormat="1" ht="18" customHeight="1" x14ac:dyDescent="0.45">
      <c r="A216" s="142"/>
      <c r="B216" s="142"/>
      <c r="C216" s="142"/>
      <c r="D216" s="142"/>
      <c r="E216" s="142"/>
      <c r="F216" s="142"/>
      <c r="G216" s="142"/>
      <c r="H216" s="124"/>
      <c r="I216" s="124"/>
      <c r="J216" s="124"/>
      <c r="K216" s="124"/>
      <c r="L216" s="124"/>
      <c r="M216" s="142"/>
      <c r="N216" s="142"/>
      <c r="O216" s="142"/>
      <c r="P216" s="142"/>
      <c r="Q216" s="142"/>
    </row>
    <row r="217" spans="1:17" s="58" customFormat="1" ht="18" customHeight="1" x14ac:dyDescent="0.45">
      <c r="H217" s="50"/>
      <c r="I217" s="50"/>
      <c r="J217" s="50"/>
      <c r="K217" s="50"/>
      <c r="L217" s="50"/>
    </row>
    <row r="218" spans="1:17" s="58" customFormat="1" ht="18" customHeight="1" x14ac:dyDescent="0.45">
      <c r="H218" s="50"/>
      <c r="I218" s="50"/>
      <c r="J218" s="50"/>
      <c r="K218" s="50"/>
      <c r="L218" s="50"/>
    </row>
    <row r="219" spans="1:17" s="58" customFormat="1" ht="18" customHeight="1" x14ac:dyDescent="0.45"/>
    <row r="220" spans="1:17" s="58" customFormat="1" ht="18" customHeight="1" x14ac:dyDescent="0.45"/>
    <row r="221" spans="1:17" s="58" customFormat="1" ht="18" customHeight="1" x14ac:dyDescent="0.45"/>
    <row r="222" spans="1:17" s="58" customFormat="1" ht="18" customHeight="1" x14ac:dyDescent="0.45"/>
    <row r="223" spans="1:17" s="58" customFormat="1" ht="18" customHeight="1" x14ac:dyDescent="0.45"/>
    <row r="224" spans="1:17" s="58" customFormat="1" ht="18" customHeight="1" x14ac:dyDescent="0.45"/>
  </sheetData>
  <mergeCells count="3">
    <mergeCell ref="E4:K4"/>
    <mergeCell ref="M4:O4"/>
    <mergeCell ref="Q4:S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24"/>
  <sheetViews>
    <sheetView showGridLines="0" topLeftCell="A32" zoomScale="71" zoomScaleNormal="71" workbookViewId="0">
      <selection activeCell="H23" sqref="H23:M23"/>
    </sheetView>
  </sheetViews>
  <sheetFormatPr defaultColWidth="11.6328125" defaultRowHeight="14.5" outlineLevelRow="1" x14ac:dyDescent="0.35"/>
  <cols>
    <col min="1" max="3" width="1.26953125" style="11" customWidth="1"/>
    <col min="4" max="4" width="40.6328125" style="11" customWidth="1"/>
    <col min="5" max="5" width="13.90625" style="11" customWidth="1"/>
    <col min="6" max="6" width="19.6328125" style="11" customWidth="1"/>
    <col min="7" max="7" width="9.81640625" style="11" customWidth="1"/>
    <col min="8" max="8" width="13" style="11" customWidth="1"/>
    <col min="9" max="9" width="10.453125" style="11" customWidth="1"/>
    <col min="10" max="10" width="13.54296875" style="11" customWidth="1"/>
    <col min="11" max="11" width="12.36328125" style="11" customWidth="1"/>
    <col min="12" max="12" width="9.54296875" style="11" customWidth="1"/>
    <col min="13" max="13" width="12.54296875" style="11" customWidth="1"/>
    <col min="14" max="14" width="14.81640625" style="11" customWidth="1"/>
    <col min="15" max="16384" width="11.6328125" style="11"/>
  </cols>
  <sheetData>
    <row r="1" spans="1:19" ht="33" customHeight="1" x14ac:dyDescent="0.7">
      <c r="A1" s="110" t="s">
        <v>0</v>
      </c>
      <c r="B1" s="111"/>
      <c r="C1" s="111"/>
      <c r="D1" s="111"/>
      <c r="E1" s="13"/>
      <c r="F1" s="39"/>
      <c r="G1" s="39"/>
      <c r="H1" s="39"/>
      <c r="I1" s="39"/>
      <c r="J1" s="39"/>
      <c r="K1" s="39"/>
      <c r="L1" s="39"/>
      <c r="M1" s="39"/>
      <c r="N1" s="39"/>
      <c r="O1" s="160"/>
      <c r="P1" s="160"/>
      <c r="Q1" s="160"/>
      <c r="R1" s="123"/>
      <c r="S1" s="123"/>
    </row>
    <row r="2" spans="1:19" ht="20.25" customHeight="1" x14ac:dyDescent="0.35">
      <c r="A2" s="161" t="s">
        <v>401</v>
      </c>
      <c r="B2" s="111"/>
      <c r="C2" s="111"/>
      <c r="D2" s="111"/>
      <c r="E2" s="13"/>
      <c r="F2" s="13"/>
      <c r="G2" s="13"/>
      <c r="H2" s="112"/>
      <c r="I2" s="112"/>
      <c r="J2" s="112"/>
      <c r="K2" s="112"/>
      <c r="L2" s="112"/>
      <c r="M2" s="42"/>
      <c r="N2" s="42"/>
      <c r="O2" s="48"/>
      <c r="P2" s="48"/>
      <c r="Q2" s="48"/>
      <c r="R2" s="123"/>
      <c r="S2" s="123"/>
    </row>
    <row r="3" spans="1:19" ht="20.25" customHeight="1" x14ac:dyDescent="0.45">
      <c r="A3" s="43"/>
      <c r="B3" s="44"/>
      <c r="C3" s="44"/>
      <c r="D3" s="45"/>
      <c r="E3" s="45"/>
      <c r="F3" s="45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9" ht="20.25" customHeight="1" x14ac:dyDescent="0.45">
      <c r="A4" s="49" t="s">
        <v>402</v>
      </c>
      <c r="B4" s="111"/>
      <c r="C4" s="111"/>
      <c r="D4" s="111"/>
      <c r="E4" s="13"/>
      <c r="F4" s="13"/>
      <c r="G4" s="13"/>
      <c r="H4" s="13"/>
      <c r="I4" s="112"/>
      <c r="J4" s="112"/>
      <c r="K4" s="112"/>
      <c r="L4" s="112"/>
      <c r="M4" s="112"/>
      <c r="N4" s="42"/>
      <c r="O4" s="162"/>
      <c r="P4" s="163"/>
      <c r="Q4" s="163"/>
      <c r="R4" s="163"/>
      <c r="S4" s="163"/>
    </row>
    <row r="5" spans="1:19" ht="20.25" customHeight="1" x14ac:dyDescent="0.45">
      <c r="A5" s="43"/>
      <c r="B5" s="44"/>
      <c r="C5" s="44"/>
      <c r="D5" s="44"/>
      <c r="E5" s="123"/>
      <c r="F5" s="123"/>
      <c r="G5" s="123"/>
      <c r="H5" s="123"/>
      <c r="I5" s="164"/>
      <c r="J5" s="164"/>
      <c r="K5" s="164"/>
      <c r="L5" s="164"/>
      <c r="M5" s="164"/>
      <c r="N5" s="48"/>
      <c r="O5" s="119"/>
      <c r="P5" s="123"/>
      <c r="Q5" s="120"/>
      <c r="R5" s="120"/>
      <c r="S5" s="120"/>
    </row>
    <row r="6" spans="1:19" ht="20.25" customHeight="1" x14ac:dyDescent="0.35">
      <c r="A6" s="165"/>
      <c r="B6" s="165"/>
      <c r="C6" s="166"/>
      <c r="D6" s="116"/>
      <c r="E6" s="113"/>
      <c r="F6" s="113"/>
      <c r="G6" s="113"/>
      <c r="H6" s="113"/>
      <c r="I6" s="113"/>
      <c r="J6" s="113"/>
      <c r="K6" s="117"/>
      <c r="L6" s="116"/>
      <c r="M6" s="113"/>
      <c r="N6" s="113"/>
      <c r="O6" s="121"/>
      <c r="P6" s="123"/>
      <c r="Q6" s="121"/>
      <c r="R6" s="121"/>
      <c r="S6" s="121"/>
    </row>
    <row r="7" spans="1:19" ht="20.25" customHeight="1" x14ac:dyDescent="0.35">
      <c r="A7" s="165"/>
      <c r="B7" s="165"/>
      <c r="C7" s="165"/>
      <c r="D7" s="113" t="s">
        <v>362</v>
      </c>
      <c r="E7" s="113" t="s">
        <v>353</v>
      </c>
      <c r="F7" s="116"/>
      <c r="G7" s="116"/>
      <c r="H7" s="118" t="s">
        <v>249</v>
      </c>
      <c r="I7" s="117" t="s">
        <v>403</v>
      </c>
      <c r="J7" s="116" t="s">
        <v>404</v>
      </c>
      <c r="K7" s="118" t="s">
        <v>405</v>
      </c>
      <c r="L7" s="116" t="s">
        <v>244</v>
      </c>
      <c r="M7" s="118" t="s">
        <v>406</v>
      </c>
      <c r="N7" s="118" t="s">
        <v>407</v>
      </c>
      <c r="O7" s="121"/>
      <c r="P7" s="123"/>
      <c r="Q7" s="121"/>
      <c r="R7" s="121"/>
      <c r="S7" s="121"/>
    </row>
    <row r="8" spans="1:19" ht="15" customHeight="1" x14ac:dyDescent="0.35">
      <c r="A8" s="167"/>
      <c r="B8" s="167"/>
      <c r="C8" s="167"/>
      <c r="F8" s="51"/>
      <c r="G8" s="51"/>
      <c r="H8" s="51"/>
      <c r="I8" s="51"/>
      <c r="J8" s="51"/>
      <c r="K8" s="51"/>
      <c r="L8" s="51"/>
      <c r="M8" s="51"/>
      <c r="N8" s="51"/>
      <c r="O8" s="146"/>
      <c r="P8" s="146"/>
      <c r="Q8" s="147"/>
      <c r="R8" s="147"/>
      <c r="S8" s="147"/>
    </row>
    <row r="9" spans="1:19" ht="15" customHeight="1" x14ac:dyDescent="0.35">
      <c r="A9" s="50"/>
      <c r="B9" s="50"/>
      <c r="C9" s="50"/>
      <c r="D9" s="11" t="s">
        <v>366</v>
      </c>
      <c r="E9" s="11" t="s">
        <v>367</v>
      </c>
      <c r="F9" s="51"/>
      <c r="G9" s="51"/>
      <c r="H9" s="168">
        <f>'Comp Valuation'!H8</f>
        <v>102950</v>
      </c>
      <c r="I9" s="51">
        <f>'Comp Valuation'!I8</f>
        <v>2850</v>
      </c>
      <c r="J9" s="54">
        <f t="shared" ref="J9:J18" si="0">I9/H9</f>
        <v>2.7683341427877612E-2</v>
      </c>
      <c r="K9" s="54">
        <f t="shared" ref="K9:K18" si="1">I9/(H9+I9)</f>
        <v>2.6937618147448016E-2</v>
      </c>
      <c r="L9" s="54">
        <v>0.27500000000000002</v>
      </c>
      <c r="M9" s="137">
        <v>0.85</v>
      </c>
      <c r="N9" s="169">
        <f t="shared" ref="N9:N18" si="2">M9/(1+J9*(1-L9))</f>
        <v>0.83327580255436651</v>
      </c>
      <c r="O9" s="146"/>
      <c r="P9" s="146"/>
      <c r="Q9" s="147"/>
      <c r="R9" s="147"/>
      <c r="S9" s="147"/>
    </row>
    <row r="10" spans="1:19" ht="15" customHeight="1" x14ac:dyDescent="0.35">
      <c r="A10" s="50"/>
      <c r="B10" s="50"/>
      <c r="C10" s="50"/>
      <c r="D10" s="125" t="s">
        <v>368</v>
      </c>
      <c r="E10" s="126" t="s">
        <v>369</v>
      </c>
      <c r="F10" s="51"/>
      <c r="G10" s="51"/>
      <c r="H10" s="51">
        <f>'Comp Valuation'!H9</f>
        <v>182700</v>
      </c>
      <c r="I10" s="51">
        <f>'Comp Valuation'!I9</f>
        <v>1200</v>
      </c>
      <c r="J10" s="54">
        <f t="shared" si="0"/>
        <v>6.5681444991789817E-3</v>
      </c>
      <c r="K10" s="54">
        <f t="shared" si="1"/>
        <v>6.5252854812398045E-3</v>
      </c>
      <c r="L10" s="54">
        <v>0.26200000000000001</v>
      </c>
      <c r="M10" s="137">
        <v>0.8</v>
      </c>
      <c r="N10" s="169">
        <f t="shared" si="2"/>
        <v>0.79614087379402321</v>
      </c>
      <c r="O10" s="146"/>
      <c r="P10" s="146"/>
      <c r="Q10" s="147"/>
      <c r="R10" s="147"/>
      <c r="S10" s="147"/>
    </row>
    <row r="11" spans="1:19" ht="15" customHeight="1" x14ac:dyDescent="0.35">
      <c r="A11" s="50"/>
      <c r="B11" s="50"/>
      <c r="C11" s="50"/>
      <c r="D11" s="125" t="s">
        <v>370</v>
      </c>
      <c r="E11" s="126" t="s">
        <v>408</v>
      </c>
      <c r="F11" s="51"/>
      <c r="G11" s="51"/>
      <c r="H11" s="51">
        <f>'Comp Valuation'!H10</f>
        <v>695270</v>
      </c>
      <c r="I11" s="51">
        <f>'Comp Valuation'!I10</f>
        <v>2100</v>
      </c>
      <c r="J11" s="54">
        <f t="shared" si="0"/>
        <v>3.0204093373797231E-3</v>
      </c>
      <c r="K11" s="54">
        <f t="shared" si="1"/>
        <v>3.0113139366476907E-3</v>
      </c>
      <c r="L11" s="54">
        <v>0.248</v>
      </c>
      <c r="M11" s="137">
        <v>0.75</v>
      </c>
      <c r="N11" s="169">
        <f t="shared" si="2"/>
        <v>0.74830034963088143</v>
      </c>
      <c r="O11" s="146"/>
      <c r="P11" s="146"/>
      <c r="Q11" s="147"/>
      <c r="R11" s="147"/>
      <c r="S11" s="147"/>
    </row>
    <row r="12" spans="1:19" ht="15" customHeight="1" x14ac:dyDescent="0.35">
      <c r="A12" s="50"/>
      <c r="B12" s="50"/>
      <c r="C12" s="50"/>
      <c r="D12" s="125" t="s">
        <v>372</v>
      </c>
      <c r="E12" s="126" t="s">
        <v>373</v>
      </c>
      <c r="F12" s="51"/>
      <c r="G12" s="51"/>
      <c r="H12" s="51">
        <f>'Comp Valuation'!H11</f>
        <v>204600</v>
      </c>
      <c r="I12" s="51">
        <f>'Comp Valuation'!I11</f>
        <v>800</v>
      </c>
      <c r="J12" s="54">
        <f t="shared" si="0"/>
        <v>3.9100684261974585E-3</v>
      </c>
      <c r="K12" s="54">
        <f t="shared" si="1"/>
        <v>3.8948393378773127E-3</v>
      </c>
      <c r="L12" s="54">
        <v>0.253</v>
      </c>
      <c r="M12" s="137">
        <v>0.9</v>
      </c>
      <c r="N12" s="169">
        <f t="shared" si="2"/>
        <v>0.89737891671247627</v>
      </c>
      <c r="O12" s="146"/>
      <c r="P12" s="146"/>
      <c r="Q12" s="147"/>
      <c r="R12" s="147"/>
      <c r="S12" s="147"/>
    </row>
    <row r="13" spans="1:19" ht="15" customHeight="1" x14ac:dyDescent="0.35">
      <c r="A13" s="50"/>
      <c r="B13" s="50"/>
      <c r="C13" s="50"/>
      <c r="D13" s="125" t="s">
        <v>374</v>
      </c>
      <c r="E13" s="126" t="s">
        <v>409</v>
      </c>
      <c r="F13" s="51"/>
      <c r="G13" s="51"/>
      <c r="H13" s="51">
        <f>'Comp Valuation'!H12</f>
        <v>110200</v>
      </c>
      <c r="I13" s="51">
        <f>'Comp Valuation'!I12</f>
        <v>0</v>
      </c>
      <c r="J13" s="54">
        <f t="shared" si="0"/>
        <v>0</v>
      </c>
      <c r="K13" s="54">
        <f t="shared" si="1"/>
        <v>0</v>
      </c>
      <c r="L13" s="54">
        <v>0.25600000000000001</v>
      </c>
      <c r="M13" s="137">
        <v>0.7</v>
      </c>
      <c r="N13" s="169">
        <f t="shared" si="2"/>
        <v>0.7</v>
      </c>
      <c r="O13" s="146"/>
      <c r="P13" s="146"/>
      <c r="Q13" s="147"/>
      <c r="R13" s="147"/>
      <c r="S13" s="147"/>
    </row>
    <row r="14" spans="1:19" ht="15" customHeight="1" x14ac:dyDescent="0.35">
      <c r="A14" s="50"/>
      <c r="B14" s="50"/>
      <c r="C14" s="50"/>
      <c r="D14" s="125" t="s">
        <v>376</v>
      </c>
      <c r="E14" s="126" t="s">
        <v>410</v>
      </c>
      <c r="F14" s="51"/>
      <c r="G14" s="51"/>
      <c r="H14" s="51">
        <f>'Comp Valuation'!H13</f>
        <v>28350</v>
      </c>
      <c r="I14" s="51">
        <f>'Comp Valuation'!I13</f>
        <v>3200</v>
      </c>
      <c r="J14" s="54">
        <f t="shared" si="0"/>
        <v>0.1128747795414462</v>
      </c>
      <c r="K14" s="54">
        <f t="shared" si="1"/>
        <v>0.10142630744849446</v>
      </c>
      <c r="L14" s="54">
        <v>0.245</v>
      </c>
      <c r="M14" s="137">
        <v>1.1000000000000001</v>
      </c>
      <c r="N14" s="169">
        <f t="shared" si="2"/>
        <v>1.0136189299876488</v>
      </c>
      <c r="O14" s="146"/>
      <c r="P14" s="146"/>
      <c r="Q14" s="147"/>
      <c r="R14" s="147"/>
      <c r="S14" s="147"/>
    </row>
    <row r="15" spans="1:19" ht="15" customHeight="1" x14ac:dyDescent="0.35">
      <c r="A15" s="50"/>
      <c r="B15" s="50"/>
      <c r="C15" s="50"/>
      <c r="D15" s="125" t="s">
        <v>378</v>
      </c>
      <c r="E15" s="126" t="s">
        <v>379</v>
      </c>
      <c r="F15" s="51"/>
      <c r="G15" s="51"/>
      <c r="H15" s="51">
        <f>'Comp Valuation'!H14</f>
        <v>7980</v>
      </c>
      <c r="I15" s="51">
        <f>'Comp Valuation'!I14</f>
        <v>1800</v>
      </c>
      <c r="J15" s="54">
        <f t="shared" si="0"/>
        <v>0.22556390977443608</v>
      </c>
      <c r="K15" s="54">
        <f t="shared" si="1"/>
        <v>0.18404907975460122</v>
      </c>
      <c r="L15" s="54">
        <v>0.28100000000000003</v>
      </c>
      <c r="M15" s="137">
        <v>0.95</v>
      </c>
      <c r="N15" s="169">
        <f t="shared" si="2"/>
        <v>0.81742899657113277</v>
      </c>
      <c r="O15" s="146"/>
      <c r="P15" s="146"/>
      <c r="Q15" s="147"/>
      <c r="R15" s="147"/>
      <c r="S15" s="147"/>
    </row>
    <row r="16" spans="1:19" ht="15" customHeight="1" x14ac:dyDescent="0.35">
      <c r="A16" s="50"/>
      <c r="B16" s="50"/>
      <c r="C16" s="50"/>
      <c r="D16" s="125" t="s">
        <v>380</v>
      </c>
      <c r="E16" s="126" t="s">
        <v>411</v>
      </c>
      <c r="F16" s="51"/>
      <c r="G16" s="51"/>
      <c r="H16" s="51">
        <f>'Comp Valuation'!H15</f>
        <v>6440</v>
      </c>
      <c r="I16" s="51">
        <f>'Comp Valuation'!I15</f>
        <v>350</v>
      </c>
      <c r="J16" s="54">
        <f t="shared" si="0"/>
        <v>5.434782608695652E-2</v>
      </c>
      <c r="K16" s="54">
        <f t="shared" si="1"/>
        <v>5.1546391752577317E-2</v>
      </c>
      <c r="L16" s="54">
        <v>0.26900000000000002</v>
      </c>
      <c r="M16" s="137">
        <v>0.85</v>
      </c>
      <c r="N16" s="169">
        <f t="shared" si="2"/>
        <v>0.81752130050703042</v>
      </c>
      <c r="O16" s="146"/>
      <c r="P16" s="146"/>
      <c r="Q16" s="147"/>
      <c r="R16" s="147"/>
      <c r="S16" s="147"/>
    </row>
    <row r="17" spans="1:19" ht="15" customHeight="1" x14ac:dyDescent="0.35">
      <c r="A17" s="50"/>
      <c r="B17" s="50"/>
      <c r="C17" s="50"/>
      <c r="D17" s="125" t="s">
        <v>382</v>
      </c>
      <c r="E17" s="126" t="s">
        <v>383</v>
      </c>
      <c r="F17" s="51"/>
      <c r="G17" s="51"/>
      <c r="H17" s="51">
        <f>'Comp Valuation'!H16</f>
        <v>37800</v>
      </c>
      <c r="I17" s="51">
        <f>'Comp Valuation'!I16</f>
        <v>15000</v>
      </c>
      <c r="J17" s="54">
        <f t="shared" si="0"/>
        <v>0.3968253968253968</v>
      </c>
      <c r="K17" s="54">
        <f t="shared" si="1"/>
        <v>0.28409090909090912</v>
      </c>
      <c r="L17" s="54">
        <v>0.29199999999999998</v>
      </c>
      <c r="M17" s="137">
        <v>1.05</v>
      </c>
      <c r="N17" s="169">
        <f t="shared" si="2"/>
        <v>0.81970260223048341</v>
      </c>
      <c r="O17" s="146"/>
      <c r="P17" s="146"/>
      <c r="Q17" s="147"/>
      <c r="R17" s="147"/>
      <c r="S17" s="147"/>
    </row>
    <row r="18" spans="1:19" ht="15" customHeight="1" x14ac:dyDescent="0.35">
      <c r="A18" s="50"/>
      <c r="B18" s="50"/>
      <c r="C18" s="50"/>
      <c r="D18" s="125" t="s">
        <v>384</v>
      </c>
      <c r="E18" s="126" t="s">
        <v>412</v>
      </c>
      <c r="F18" s="51"/>
      <c r="G18" s="51"/>
      <c r="H18" s="51">
        <f>'Comp Valuation'!H17</f>
        <v>141960</v>
      </c>
      <c r="I18" s="51">
        <f>'Comp Valuation'!I17</f>
        <v>0</v>
      </c>
      <c r="J18" s="54">
        <f t="shared" si="0"/>
        <v>0</v>
      </c>
      <c r="K18" s="54">
        <f t="shared" si="1"/>
        <v>0</v>
      </c>
      <c r="L18" s="54">
        <v>0.247</v>
      </c>
      <c r="M18" s="137">
        <v>0.75</v>
      </c>
      <c r="N18" s="169">
        <f t="shared" si="2"/>
        <v>0.75</v>
      </c>
      <c r="O18" s="159"/>
      <c r="P18" s="159"/>
      <c r="Q18" s="159"/>
      <c r="R18" s="159"/>
      <c r="S18" s="159"/>
    </row>
    <row r="19" spans="1:19" ht="15" customHeight="1" x14ac:dyDescent="0.35">
      <c r="A19" s="50"/>
      <c r="B19" s="50"/>
      <c r="C19" s="50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59"/>
      <c r="P19" s="159"/>
      <c r="Q19" s="147"/>
      <c r="R19" s="147"/>
      <c r="S19" s="147"/>
    </row>
    <row r="20" spans="1:19" ht="15" customHeight="1" x14ac:dyDescent="0.35">
      <c r="A20" s="50"/>
      <c r="B20" s="50"/>
      <c r="C20" s="50"/>
      <c r="D20" s="128" t="s">
        <v>246</v>
      </c>
      <c r="E20" s="128"/>
      <c r="F20" s="128"/>
      <c r="G20" s="128"/>
      <c r="H20" s="128"/>
      <c r="I20" s="128"/>
      <c r="J20" s="170">
        <f>AVERAGE(J9:J18)</f>
        <v>8.3079387591886933E-2</v>
      </c>
      <c r="K20" s="170">
        <f>AVERAGE(K9:K18)</f>
        <v>6.6148174494979492E-2</v>
      </c>
      <c r="L20" s="170">
        <f>AVERAGE(L9:L18)</f>
        <v>0.26280000000000003</v>
      </c>
      <c r="M20" s="171">
        <f>AVERAGE(M9:M18)</f>
        <v>0.86999999999999988</v>
      </c>
      <c r="N20" s="171">
        <f>AVERAGE(N9:N18)</f>
        <v>0.81933677719880438</v>
      </c>
      <c r="O20" s="172"/>
      <c r="P20" s="172"/>
      <c r="Q20" s="147"/>
      <c r="R20" s="147"/>
      <c r="S20" s="147"/>
    </row>
    <row r="21" spans="1:19" ht="15" customHeight="1" x14ac:dyDescent="0.35">
      <c r="A21" s="50"/>
      <c r="B21" s="50"/>
      <c r="C21" s="50"/>
      <c r="D21" s="128" t="s">
        <v>386</v>
      </c>
      <c r="E21" s="128"/>
      <c r="F21" s="128"/>
      <c r="G21" s="128"/>
      <c r="H21" s="128"/>
      <c r="I21" s="130"/>
      <c r="J21" s="170">
        <f>MEDIAN(J9:J18)</f>
        <v>1.7125742963528298E-2</v>
      </c>
      <c r="K21" s="170">
        <f>MEDIAN(K9:K18)</f>
        <v>1.673145181434391E-2</v>
      </c>
      <c r="L21" s="170">
        <f>MEDIAN(L9:L18)</f>
        <v>0.25900000000000001</v>
      </c>
      <c r="M21" s="173">
        <f>MEDIAN(M9:M18)</f>
        <v>0.85</v>
      </c>
      <c r="N21" s="171">
        <f>MEDIAN(N9:N18)</f>
        <v>0.81747514853908165</v>
      </c>
      <c r="O21" s="132"/>
      <c r="P21" s="132"/>
      <c r="Q21" s="132"/>
      <c r="R21" s="132"/>
      <c r="S21" s="132"/>
    </row>
    <row r="22" spans="1:19" ht="15" customHeight="1" x14ac:dyDescent="0.35">
      <c r="A22" s="50"/>
      <c r="B22" s="50"/>
      <c r="C22" s="50"/>
      <c r="D22" s="127"/>
      <c r="E22" s="127"/>
      <c r="F22" s="127"/>
      <c r="G22" s="127"/>
      <c r="H22" s="127"/>
      <c r="I22" s="131"/>
      <c r="J22" s="131"/>
      <c r="K22" s="131"/>
      <c r="L22" s="131"/>
      <c r="M22" s="131"/>
      <c r="N22" s="132"/>
      <c r="O22" s="146"/>
      <c r="P22" s="146"/>
      <c r="Q22" s="174"/>
      <c r="R22" s="147"/>
      <c r="S22" s="147"/>
    </row>
    <row r="23" spans="1:19" ht="20.25" customHeight="1" x14ac:dyDescent="0.45">
      <c r="D23" s="133" t="s">
        <v>387</v>
      </c>
      <c r="E23" s="134" t="s">
        <v>388</v>
      </c>
      <c r="F23" s="51" t="s">
        <v>413</v>
      </c>
      <c r="H23" s="51">
        <v>16913</v>
      </c>
      <c r="I23" s="51">
        <v>42</v>
      </c>
      <c r="J23" s="54">
        <f>I23/H23</f>
        <v>2.4832968722284634E-3</v>
      </c>
      <c r="K23" s="54">
        <v>2.98284862043251E-2</v>
      </c>
      <c r="L23" s="54">
        <v>0.25</v>
      </c>
      <c r="M23" s="169">
        <v>0.837488475996783</v>
      </c>
      <c r="N23" s="51"/>
      <c r="O23" s="43"/>
      <c r="P23" s="43"/>
      <c r="Q23" s="43"/>
      <c r="R23" s="123"/>
      <c r="S23" s="123"/>
    </row>
    <row r="24" spans="1:19" s="58" customFormat="1" ht="18" customHeight="1" outlineLevel="1" x14ac:dyDescent="0.45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42"/>
      <c r="P24" s="142"/>
      <c r="Q24" s="142"/>
      <c r="R24" s="142"/>
      <c r="S24" s="142"/>
    </row>
    <row r="25" spans="1:19" s="58" customFormat="1" ht="18" customHeight="1" outlineLevel="1" x14ac:dyDescent="0.45">
      <c r="A25" s="57"/>
      <c r="B25" s="26"/>
      <c r="C25" s="57"/>
      <c r="D25" s="138" t="s">
        <v>414</v>
      </c>
      <c r="E25" s="143"/>
      <c r="F25" s="176"/>
      <c r="G25" s="176"/>
      <c r="H25" s="176"/>
      <c r="I25" s="176"/>
      <c r="J25" s="143"/>
      <c r="K25" s="177"/>
      <c r="L25" s="177"/>
      <c r="M25" s="177"/>
      <c r="N25" s="178"/>
      <c r="O25" s="146"/>
      <c r="P25" s="146"/>
      <c r="Q25" s="146"/>
      <c r="R25" s="142"/>
      <c r="S25" s="142"/>
    </row>
    <row r="26" spans="1:19" s="58" customFormat="1" ht="18" customHeight="1" outlineLevel="1" x14ac:dyDescent="0.45">
      <c r="A26" s="57"/>
      <c r="B26" s="57"/>
      <c r="C26" s="57"/>
      <c r="D26" s="57"/>
      <c r="E26" s="179"/>
      <c r="F26" s="51"/>
      <c r="G26" s="51"/>
      <c r="H26" s="51"/>
      <c r="I26" s="51"/>
      <c r="J26" s="51"/>
      <c r="K26" s="51"/>
      <c r="L26" s="50"/>
      <c r="M26" s="50"/>
      <c r="N26" s="63"/>
      <c r="O26" s="146"/>
      <c r="P26" s="146"/>
      <c r="Q26" s="146"/>
      <c r="R26" s="142"/>
      <c r="S26" s="142"/>
    </row>
    <row r="27" spans="1:19" s="58" customFormat="1" ht="18" customHeight="1" outlineLevel="1" x14ac:dyDescent="0.45">
      <c r="A27" s="57"/>
      <c r="B27" s="57"/>
      <c r="C27" s="57"/>
      <c r="D27" s="180" t="s">
        <v>415</v>
      </c>
      <c r="E27" s="181"/>
      <c r="F27" s="146"/>
      <c r="G27" s="146"/>
      <c r="H27" s="146"/>
      <c r="I27" s="146"/>
      <c r="J27" s="51"/>
      <c r="K27" s="51"/>
      <c r="L27" s="50"/>
      <c r="M27" s="50"/>
      <c r="N27" s="63"/>
      <c r="O27" s="149"/>
      <c r="P27" s="149"/>
      <c r="Q27" s="149"/>
      <c r="R27" s="142"/>
      <c r="S27" s="142"/>
    </row>
    <row r="28" spans="1:19" s="58" customFormat="1" ht="18" customHeight="1" outlineLevel="1" x14ac:dyDescent="0.45">
      <c r="A28" s="57"/>
      <c r="B28" s="57"/>
      <c r="C28" s="57"/>
      <c r="D28" s="57"/>
      <c r="E28" s="179"/>
      <c r="F28" s="51"/>
      <c r="G28" s="51"/>
      <c r="H28" s="51"/>
      <c r="I28" s="51"/>
      <c r="J28" s="51"/>
      <c r="K28" s="51"/>
      <c r="L28" s="78"/>
      <c r="M28" s="78"/>
      <c r="N28" s="63"/>
      <c r="O28" s="150"/>
      <c r="P28" s="150"/>
      <c r="Q28" s="150"/>
      <c r="R28" s="142"/>
      <c r="S28" s="142"/>
    </row>
    <row r="29" spans="1:19" s="58" customFormat="1" ht="18" customHeight="1" outlineLevel="1" x14ac:dyDescent="0.45">
      <c r="A29" s="57"/>
      <c r="B29" s="26"/>
      <c r="C29" s="57"/>
      <c r="D29" s="77" t="s">
        <v>416</v>
      </c>
      <c r="E29" s="182">
        <f>J20</f>
        <v>8.3079387591886933E-2</v>
      </c>
      <c r="F29" s="59"/>
      <c r="G29" s="57"/>
      <c r="H29" s="57"/>
      <c r="I29" s="50"/>
      <c r="J29" s="50"/>
      <c r="K29" s="50"/>
      <c r="L29" s="50"/>
      <c r="M29" s="50"/>
      <c r="N29" s="63"/>
      <c r="O29" s="146"/>
      <c r="P29" s="146"/>
      <c r="Q29" s="146"/>
      <c r="R29" s="142"/>
      <c r="S29" s="142"/>
    </row>
    <row r="30" spans="1:19" s="58" customFormat="1" ht="18" customHeight="1" outlineLevel="1" x14ac:dyDescent="0.45">
      <c r="A30" s="57"/>
      <c r="B30" s="57"/>
      <c r="C30" s="57"/>
      <c r="D30" s="57" t="s">
        <v>417</v>
      </c>
      <c r="E30" s="183">
        <f>1-E29</f>
        <v>0.91692061240811307</v>
      </c>
      <c r="F30" s="59"/>
      <c r="G30" s="57"/>
      <c r="H30" s="57"/>
      <c r="I30" s="50"/>
      <c r="J30" s="50"/>
      <c r="K30" s="50"/>
      <c r="L30" s="50"/>
      <c r="M30" s="50"/>
      <c r="N30" s="63"/>
      <c r="O30" s="146"/>
      <c r="P30" s="146"/>
      <c r="Q30" s="146"/>
      <c r="R30" s="142"/>
      <c r="S30" s="142"/>
    </row>
    <row r="31" spans="1:19" s="58" customFormat="1" ht="18" customHeight="1" outlineLevel="1" x14ac:dyDescent="0.45">
      <c r="A31" s="57"/>
      <c r="B31" s="79"/>
      <c r="C31" s="79"/>
      <c r="D31" s="180" t="s">
        <v>418</v>
      </c>
      <c r="E31" s="184"/>
      <c r="F31" s="156"/>
      <c r="G31" s="79"/>
      <c r="H31" s="79"/>
      <c r="I31" s="124"/>
      <c r="J31" s="124"/>
      <c r="K31" s="124"/>
      <c r="L31" s="124"/>
      <c r="M31" s="124"/>
      <c r="N31" s="150"/>
      <c r="O31" s="149"/>
      <c r="P31" s="149"/>
      <c r="Q31" s="149"/>
      <c r="R31" s="142"/>
      <c r="S31" s="142"/>
    </row>
    <row r="32" spans="1:19" s="58" customFormat="1" ht="18" customHeight="1" outlineLevel="1" x14ac:dyDescent="0.45">
      <c r="A32" s="57"/>
      <c r="B32" s="79"/>
      <c r="C32" s="79"/>
      <c r="D32" s="79" t="s">
        <v>248</v>
      </c>
      <c r="E32" s="149">
        <f>H23</f>
        <v>16913</v>
      </c>
      <c r="F32" s="155"/>
      <c r="G32" s="53"/>
      <c r="H32" s="53"/>
      <c r="I32" s="149"/>
      <c r="J32" s="149"/>
      <c r="K32" s="149"/>
      <c r="L32" s="149"/>
      <c r="M32" s="149"/>
      <c r="N32" s="150"/>
      <c r="O32" s="146"/>
      <c r="P32" s="146"/>
      <c r="Q32" s="146"/>
      <c r="R32" s="142"/>
      <c r="S32" s="142"/>
    </row>
    <row r="33" spans="1:19" s="58" customFormat="1" ht="18" customHeight="1" outlineLevel="1" x14ac:dyDescent="0.45">
      <c r="A33" s="57"/>
      <c r="B33" s="79"/>
      <c r="C33" s="79"/>
      <c r="D33" s="79" t="s">
        <v>403</v>
      </c>
      <c r="E33" s="80">
        <f>I23</f>
        <v>42</v>
      </c>
      <c r="F33" s="222" t="s">
        <v>419</v>
      </c>
      <c r="G33" s="222"/>
      <c r="H33" s="222"/>
      <c r="I33" s="222"/>
      <c r="J33" s="222"/>
      <c r="K33" s="222"/>
      <c r="L33" s="222"/>
      <c r="M33" s="124"/>
      <c r="N33" s="150"/>
      <c r="O33" s="149"/>
      <c r="P33" s="149"/>
      <c r="Q33" s="149"/>
      <c r="R33" s="142"/>
      <c r="S33" s="142"/>
    </row>
    <row r="34" spans="1:19" s="58" customFormat="1" ht="18" customHeight="1" outlineLevel="1" x14ac:dyDescent="0.45">
      <c r="A34" s="57"/>
      <c r="B34" s="79"/>
      <c r="C34" s="79"/>
      <c r="D34" s="79" t="s">
        <v>404</v>
      </c>
      <c r="E34" s="185">
        <f>J23</f>
        <v>2.4832968722284634E-3</v>
      </c>
      <c r="F34" s="155"/>
      <c r="G34" s="53"/>
      <c r="H34" s="53"/>
      <c r="I34" s="149"/>
      <c r="J34" s="149"/>
      <c r="K34" s="149"/>
      <c r="L34" s="149"/>
      <c r="M34" s="149"/>
      <c r="N34" s="150"/>
      <c r="O34" s="146"/>
      <c r="P34" s="146"/>
      <c r="Q34" s="146"/>
      <c r="R34" s="142"/>
      <c r="S34" s="142"/>
    </row>
    <row r="35" spans="1:19" s="58" customFormat="1" ht="18" customHeight="1" outlineLevel="1" x14ac:dyDescent="0.45">
      <c r="A35" s="57"/>
      <c r="B35" s="79"/>
      <c r="C35" s="79"/>
      <c r="D35" s="79"/>
      <c r="E35" s="79"/>
      <c r="F35" s="156"/>
      <c r="G35" s="79"/>
      <c r="H35" s="79"/>
      <c r="I35" s="124"/>
      <c r="J35" s="124"/>
      <c r="K35" s="124"/>
      <c r="L35" s="124"/>
      <c r="M35" s="124"/>
      <c r="N35" s="150"/>
      <c r="O35" s="146"/>
      <c r="P35" s="146"/>
      <c r="Q35" s="146"/>
      <c r="R35" s="142"/>
      <c r="S35" s="142"/>
    </row>
    <row r="36" spans="1:19" s="58" customFormat="1" ht="18" customHeight="1" outlineLevel="1" x14ac:dyDescent="0.45">
      <c r="A36" s="57"/>
      <c r="B36" s="79"/>
      <c r="C36" s="79"/>
      <c r="D36" s="180" t="s">
        <v>420</v>
      </c>
      <c r="E36" s="184"/>
      <c r="F36" s="156"/>
      <c r="G36" s="79"/>
      <c r="H36" s="79"/>
      <c r="I36" s="124"/>
      <c r="J36" s="124"/>
      <c r="K36" s="124"/>
      <c r="L36" s="124"/>
      <c r="M36" s="124"/>
      <c r="N36" s="150"/>
      <c r="O36" s="149"/>
      <c r="P36" s="149"/>
      <c r="Q36" s="149"/>
      <c r="R36" s="142"/>
      <c r="S36" s="142"/>
    </row>
    <row r="37" spans="1:19" s="58" customFormat="1" ht="18" customHeight="1" outlineLevel="1" x14ac:dyDescent="0.45">
      <c r="A37" s="57"/>
      <c r="B37" s="79"/>
      <c r="C37" s="79"/>
      <c r="D37" s="79" t="s">
        <v>421</v>
      </c>
      <c r="E37" s="185">
        <v>7.4999999999999997E-2</v>
      </c>
      <c r="F37" s="155"/>
      <c r="G37" s="53"/>
      <c r="H37" s="53"/>
      <c r="I37" s="149"/>
      <c r="J37" s="149"/>
      <c r="K37" s="149"/>
      <c r="L37" s="149"/>
      <c r="M37" s="149"/>
      <c r="N37" s="150"/>
      <c r="O37" s="146"/>
      <c r="P37" s="146"/>
      <c r="Q37" s="146"/>
      <c r="R37" s="142"/>
      <c r="S37" s="142"/>
    </row>
    <row r="38" spans="1:19" s="58" customFormat="1" ht="18" customHeight="1" outlineLevel="1" x14ac:dyDescent="0.45">
      <c r="A38" s="57"/>
      <c r="B38" s="79"/>
      <c r="C38" s="79"/>
      <c r="D38" s="79" t="s">
        <v>244</v>
      </c>
      <c r="E38" s="186">
        <f>L23</f>
        <v>0.25</v>
      </c>
      <c r="F38" s="156"/>
      <c r="G38" s="79"/>
      <c r="H38" s="79"/>
      <c r="I38" s="124"/>
      <c r="J38" s="124"/>
      <c r="K38" s="124"/>
      <c r="L38" s="124"/>
      <c r="M38" s="124"/>
      <c r="N38" s="150"/>
      <c r="O38" s="149"/>
      <c r="P38" s="149"/>
      <c r="Q38" s="149"/>
      <c r="R38" s="142"/>
      <c r="S38" s="142"/>
    </row>
    <row r="39" spans="1:19" s="58" customFormat="1" ht="18" customHeight="1" outlineLevel="1" x14ac:dyDescent="0.45">
      <c r="A39" s="57"/>
      <c r="B39" s="79"/>
      <c r="C39" s="79"/>
      <c r="D39" s="69" t="s">
        <v>422</v>
      </c>
      <c r="E39" s="187">
        <f>E37*(1-E38)</f>
        <v>5.6249999999999994E-2</v>
      </c>
      <c r="F39" s="155"/>
      <c r="G39" s="53"/>
      <c r="H39" s="53"/>
      <c r="I39" s="149"/>
      <c r="J39" s="149"/>
      <c r="K39" s="149"/>
      <c r="L39" s="149"/>
      <c r="M39" s="149"/>
      <c r="N39" s="150"/>
      <c r="O39" s="150"/>
      <c r="P39" s="150"/>
      <c r="Q39" s="150"/>
      <c r="R39" s="142"/>
      <c r="S39" s="142"/>
    </row>
    <row r="40" spans="1:19" s="58" customFormat="1" ht="18" customHeight="1" x14ac:dyDescent="0.45">
      <c r="B40" s="142"/>
      <c r="C40" s="142"/>
      <c r="D40" s="142"/>
      <c r="E40" s="142"/>
      <c r="F40" s="142"/>
      <c r="G40" s="142"/>
      <c r="H40" s="142"/>
      <c r="I40" s="157"/>
      <c r="J40" s="157"/>
      <c r="K40" s="157"/>
      <c r="L40" s="157"/>
      <c r="M40" s="157"/>
      <c r="N40" s="150"/>
      <c r="O40" s="150"/>
      <c r="P40" s="150"/>
      <c r="Q40" s="150"/>
      <c r="R40" s="142"/>
      <c r="S40" s="142"/>
    </row>
    <row r="41" spans="1:19" s="58" customFormat="1" ht="20.25" customHeight="1" x14ac:dyDescent="0.45">
      <c r="B41" s="142"/>
      <c r="C41" s="142"/>
      <c r="D41" s="180" t="s">
        <v>423</v>
      </c>
      <c r="E41" s="184"/>
      <c r="F41" s="142"/>
      <c r="G41" s="142"/>
      <c r="H41" s="142"/>
      <c r="I41" s="157"/>
      <c r="J41" s="157"/>
      <c r="K41" s="157"/>
      <c r="L41" s="157"/>
      <c r="M41" s="157"/>
      <c r="N41" s="150"/>
      <c r="O41" s="43"/>
      <c r="P41" s="43"/>
      <c r="Q41" s="43"/>
      <c r="R41" s="142"/>
      <c r="S41" s="142"/>
    </row>
    <row r="42" spans="1:19" s="58" customFormat="1" ht="18" customHeight="1" x14ac:dyDescent="0.45">
      <c r="A42" s="49"/>
      <c r="B42" s="43"/>
      <c r="C42" s="43"/>
      <c r="D42" s="79" t="s">
        <v>424</v>
      </c>
      <c r="E42" s="188">
        <v>7.0999999999999994E-2</v>
      </c>
      <c r="F42" s="43"/>
      <c r="G42" s="43"/>
      <c r="H42" s="43"/>
      <c r="I42" s="43"/>
      <c r="J42" s="43"/>
      <c r="K42" s="43"/>
      <c r="L42" s="43"/>
      <c r="M42" s="43"/>
      <c r="N42" s="43"/>
      <c r="O42" s="150"/>
      <c r="P42" s="150"/>
      <c r="Q42" s="150"/>
      <c r="R42" s="142"/>
      <c r="S42" s="142"/>
    </row>
    <row r="43" spans="1:19" s="58" customFormat="1" ht="18" customHeight="1" outlineLevel="1" x14ac:dyDescent="0.45">
      <c r="B43" s="142"/>
      <c r="C43" s="142"/>
      <c r="D43" s="79" t="s">
        <v>425</v>
      </c>
      <c r="E43" s="188">
        <v>0.13300000000000001</v>
      </c>
      <c r="F43" s="142"/>
      <c r="G43" s="142"/>
      <c r="H43" s="142"/>
      <c r="I43" s="157"/>
      <c r="J43" s="157"/>
      <c r="K43" s="157"/>
      <c r="L43" s="157"/>
      <c r="M43" s="157"/>
      <c r="N43" s="150"/>
      <c r="O43" s="150"/>
      <c r="P43" s="150"/>
      <c r="Q43" s="150"/>
      <c r="R43" s="142"/>
      <c r="S43" s="142"/>
    </row>
    <row r="44" spans="1:19" s="58" customFormat="1" ht="18" customHeight="1" outlineLevel="1" x14ac:dyDescent="0.45">
      <c r="A44" s="57"/>
      <c r="B44" s="53"/>
      <c r="C44" s="79"/>
      <c r="D44" s="79" t="s">
        <v>426</v>
      </c>
      <c r="E44" s="186">
        <f>E43-E42</f>
        <v>6.2000000000000013E-2</v>
      </c>
      <c r="F44" s="156"/>
      <c r="G44" s="79"/>
      <c r="H44" s="79"/>
      <c r="I44" s="124"/>
      <c r="J44" s="124"/>
      <c r="K44" s="124"/>
      <c r="L44" s="124"/>
      <c r="M44" s="124"/>
      <c r="N44" s="150"/>
      <c r="O44" s="150"/>
      <c r="P44" s="150"/>
      <c r="Q44" s="150"/>
      <c r="R44" s="142"/>
      <c r="S44" s="142"/>
    </row>
    <row r="45" spans="1:19" s="58" customFormat="1" ht="18" customHeight="1" outlineLevel="1" x14ac:dyDescent="0.45">
      <c r="A45" s="57"/>
      <c r="B45" s="79"/>
      <c r="C45" s="53"/>
      <c r="D45" s="79" t="s">
        <v>427</v>
      </c>
      <c r="E45" s="189">
        <f>N21*(1+E34*(1-E38))</f>
        <v>0.81899767364870035</v>
      </c>
      <c r="F45" s="79"/>
      <c r="G45" s="79"/>
      <c r="H45" s="79"/>
      <c r="I45" s="124"/>
      <c r="J45" s="124"/>
      <c r="K45" s="124"/>
      <c r="L45" s="124"/>
      <c r="M45" s="124"/>
      <c r="N45" s="150"/>
      <c r="O45" s="146"/>
      <c r="P45" s="146"/>
      <c r="Q45" s="146"/>
      <c r="R45" s="142"/>
      <c r="S45" s="142"/>
    </row>
    <row r="46" spans="1:19" s="58" customFormat="1" ht="18" customHeight="1" outlineLevel="1" x14ac:dyDescent="0.45">
      <c r="A46" s="57"/>
      <c r="B46" s="79"/>
      <c r="C46" s="79"/>
      <c r="D46" s="69" t="s">
        <v>428</v>
      </c>
      <c r="E46" s="190">
        <f>E42+(E44*E45)</f>
        <v>0.12177785576621943</v>
      </c>
      <c r="F46" s="156"/>
      <c r="G46" s="79"/>
      <c r="H46" s="79"/>
      <c r="I46" s="124"/>
      <c r="J46" s="124"/>
      <c r="K46" s="124"/>
      <c r="L46" s="124"/>
      <c r="M46" s="124"/>
      <c r="N46" s="150"/>
      <c r="O46" s="124"/>
      <c r="P46" s="124"/>
      <c r="Q46" s="124"/>
      <c r="R46" s="142"/>
      <c r="S46" s="142"/>
    </row>
    <row r="47" spans="1:19" s="58" customFormat="1" ht="18" customHeight="1" outlineLevel="1" x14ac:dyDescent="0.45">
      <c r="A47" s="57"/>
      <c r="B47" s="79"/>
      <c r="C47" s="79"/>
      <c r="D47" s="79"/>
      <c r="E47" s="79"/>
      <c r="F47" s="156"/>
      <c r="G47" s="79"/>
      <c r="H47" s="79"/>
      <c r="I47" s="124"/>
      <c r="J47" s="124"/>
      <c r="K47" s="124"/>
      <c r="L47" s="124"/>
      <c r="M47" s="124"/>
      <c r="N47" s="150"/>
      <c r="O47" s="146"/>
      <c r="P47" s="146"/>
      <c r="Q47" s="146"/>
      <c r="R47" s="142"/>
      <c r="S47" s="142"/>
    </row>
    <row r="48" spans="1:19" s="58" customFormat="1" ht="18" customHeight="1" outlineLevel="1" x14ac:dyDescent="0.45">
      <c r="A48" s="57"/>
      <c r="B48" s="79"/>
      <c r="C48" s="79"/>
      <c r="D48" s="191" t="s">
        <v>259</v>
      </c>
      <c r="E48" s="192">
        <f>E29*E39+E46*E30</f>
        <v>0.11633384163895243</v>
      </c>
      <c r="F48" s="156"/>
      <c r="G48" s="79"/>
      <c r="H48" s="79"/>
      <c r="I48" s="124"/>
      <c r="J48" s="124"/>
      <c r="K48" s="124"/>
      <c r="L48" s="124"/>
      <c r="M48" s="124"/>
      <c r="N48" s="150"/>
      <c r="O48" s="146"/>
      <c r="P48" s="146"/>
      <c r="Q48" s="146"/>
      <c r="R48" s="142"/>
      <c r="S48" s="142"/>
    </row>
    <row r="49" spans="1:19" s="58" customFormat="1" ht="18" customHeight="1" outlineLevel="1" x14ac:dyDescent="0.45">
      <c r="A49" s="79"/>
      <c r="B49" s="79"/>
      <c r="C49" s="79"/>
      <c r="D49" s="79"/>
      <c r="E49" s="79"/>
      <c r="F49" s="156"/>
      <c r="G49" s="79"/>
      <c r="H49" s="124"/>
      <c r="I49" s="124"/>
      <c r="J49" s="124"/>
      <c r="K49" s="124"/>
      <c r="L49" s="124"/>
      <c r="M49" s="146"/>
      <c r="N49" s="146"/>
      <c r="O49" s="146"/>
      <c r="P49" s="146"/>
      <c r="Q49" s="146"/>
      <c r="R49" s="142"/>
      <c r="S49" s="142"/>
    </row>
    <row r="50" spans="1:19" s="58" customFormat="1" ht="18" customHeight="1" outlineLevel="1" x14ac:dyDescent="0.45">
      <c r="A50" s="79"/>
      <c r="B50" s="79"/>
      <c r="C50" s="79"/>
      <c r="D50" s="79"/>
      <c r="E50" s="79"/>
      <c r="F50" s="156"/>
      <c r="G50" s="79"/>
      <c r="H50" s="124"/>
      <c r="I50" s="124"/>
      <c r="J50" s="124"/>
      <c r="K50" s="124"/>
      <c r="L50" s="124"/>
      <c r="M50" s="146"/>
      <c r="N50" s="146"/>
      <c r="O50" s="146"/>
      <c r="P50" s="146"/>
      <c r="Q50" s="146"/>
      <c r="R50" s="142"/>
      <c r="S50" s="142"/>
    </row>
    <row r="51" spans="1:19" s="58" customFormat="1" ht="18" customHeight="1" outlineLevel="1" x14ac:dyDescent="0.45">
      <c r="A51" s="79"/>
      <c r="B51" s="79"/>
      <c r="C51" s="53"/>
      <c r="D51" s="79"/>
      <c r="E51" s="79"/>
      <c r="F51" s="156"/>
      <c r="G51" s="79"/>
      <c r="H51" s="124"/>
      <c r="I51" s="124"/>
      <c r="J51" s="124"/>
      <c r="K51" s="124"/>
      <c r="L51" s="124"/>
      <c r="M51" s="146"/>
      <c r="N51" s="146"/>
      <c r="O51" s="146"/>
      <c r="P51" s="146"/>
      <c r="Q51" s="146"/>
      <c r="R51" s="142"/>
      <c r="S51" s="142"/>
    </row>
    <row r="52" spans="1:19" s="58" customFormat="1" ht="18" customHeight="1" outlineLevel="1" x14ac:dyDescent="0.45">
      <c r="A52" s="79"/>
      <c r="B52" s="79"/>
      <c r="C52" s="79"/>
      <c r="D52" s="79"/>
      <c r="E52" s="79"/>
      <c r="F52" s="156"/>
      <c r="G52" s="79"/>
      <c r="H52" s="124"/>
      <c r="I52" s="124"/>
      <c r="J52" s="124"/>
      <c r="K52" s="124"/>
      <c r="L52" s="124"/>
      <c r="M52" s="146"/>
      <c r="N52" s="146"/>
      <c r="O52" s="146"/>
      <c r="P52" s="146"/>
      <c r="Q52" s="146"/>
      <c r="R52" s="142"/>
      <c r="S52" s="142"/>
    </row>
    <row r="53" spans="1:19" s="58" customFormat="1" ht="18" customHeight="1" outlineLevel="1" x14ac:dyDescent="0.45">
      <c r="A53" s="79"/>
      <c r="B53" s="79"/>
      <c r="C53" s="79"/>
      <c r="D53" s="179"/>
      <c r="E53" s="51"/>
      <c r="F53" s="51"/>
      <c r="G53" s="51"/>
      <c r="H53" s="51"/>
      <c r="I53" s="51"/>
      <c r="J53" s="51"/>
      <c r="K53" s="124"/>
      <c r="L53" s="124"/>
      <c r="M53" s="124"/>
      <c r="N53" s="124"/>
      <c r="O53" s="124"/>
      <c r="P53" s="124"/>
      <c r="Q53" s="124"/>
      <c r="R53" s="142"/>
      <c r="S53" s="142"/>
    </row>
    <row r="54" spans="1:19" s="58" customFormat="1" ht="18" customHeight="1" outlineLevel="1" x14ac:dyDescent="0.45">
      <c r="A54" s="79"/>
      <c r="B54" s="79"/>
      <c r="C54" s="79"/>
      <c r="D54" s="79"/>
      <c r="E54" s="79"/>
      <c r="F54" s="156"/>
      <c r="G54" s="79"/>
      <c r="H54" s="124"/>
      <c r="I54" s="124"/>
      <c r="J54" s="124"/>
      <c r="K54" s="124"/>
      <c r="L54" s="124"/>
      <c r="M54" s="146"/>
      <c r="N54" s="146"/>
      <c r="O54" s="146"/>
      <c r="P54" s="146"/>
      <c r="Q54" s="146"/>
      <c r="R54" s="142"/>
      <c r="S54" s="142"/>
    </row>
    <row r="55" spans="1:19" s="58" customFormat="1" ht="18" customHeight="1" outlineLevel="1" x14ac:dyDescent="0.45">
      <c r="A55" s="79"/>
      <c r="B55" s="79"/>
      <c r="C55" s="79"/>
      <c r="D55" s="79"/>
      <c r="E55" s="79"/>
      <c r="F55" s="156"/>
      <c r="G55" s="79"/>
      <c r="H55" s="124"/>
      <c r="I55" s="124"/>
      <c r="J55" s="124"/>
      <c r="K55" s="124"/>
      <c r="L55" s="124"/>
      <c r="M55" s="146"/>
      <c r="N55" s="146"/>
      <c r="O55" s="146"/>
      <c r="P55" s="146"/>
      <c r="Q55" s="146"/>
      <c r="R55" s="142"/>
      <c r="S55" s="142"/>
    </row>
    <row r="56" spans="1:19" s="58" customFormat="1" ht="18.75" customHeight="1" outlineLevel="1" x14ac:dyDescent="0.45">
      <c r="A56" s="79"/>
      <c r="B56" s="79"/>
      <c r="C56" s="79"/>
      <c r="D56" s="53"/>
      <c r="E56" s="53"/>
      <c r="F56" s="155"/>
      <c r="G56" s="53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2"/>
      <c r="S56" s="142"/>
    </row>
    <row r="57" spans="1:19" s="58" customFormat="1" ht="18.75" customHeight="1" outlineLevel="1" x14ac:dyDescent="0.45">
      <c r="A57" s="79"/>
      <c r="B57" s="79"/>
      <c r="C57" s="79"/>
      <c r="D57" s="79"/>
      <c r="E57" s="79"/>
      <c r="F57" s="142"/>
      <c r="G57" s="79"/>
      <c r="H57" s="80"/>
      <c r="I57" s="80"/>
      <c r="J57" s="80"/>
      <c r="K57" s="80"/>
      <c r="L57" s="80"/>
      <c r="M57" s="146"/>
      <c r="N57" s="146"/>
      <c r="O57" s="146"/>
      <c r="P57" s="146"/>
      <c r="Q57" s="146"/>
      <c r="R57" s="142"/>
      <c r="S57" s="142"/>
    </row>
    <row r="58" spans="1:19" s="58" customFormat="1" ht="18" customHeight="1" outlineLevel="1" x14ac:dyDescent="0.45">
      <c r="A58" s="79"/>
      <c r="B58" s="53"/>
      <c r="C58" s="79"/>
      <c r="D58" s="79"/>
      <c r="E58" s="79"/>
      <c r="F58" s="79"/>
      <c r="G58" s="79"/>
      <c r="H58" s="80"/>
      <c r="I58" s="80"/>
      <c r="J58" s="80"/>
      <c r="K58" s="80"/>
      <c r="L58" s="80"/>
      <c r="M58" s="146"/>
      <c r="N58" s="146"/>
      <c r="O58" s="146"/>
      <c r="P58" s="146"/>
      <c r="Q58" s="146"/>
      <c r="R58" s="142"/>
      <c r="S58" s="142"/>
    </row>
    <row r="59" spans="1:19" s="58" customFormat="1" ht="18" customHeight="1" outlineLevel="1" x14ac:dyDescent="0.45">
      <c r="A59" s="79"/>
      <c r="B59" s="79"/>
      <c r="C59" s="53"/>
      <c r="D59" s="79"/>
      <c r="E59" s="79"/>
      <c r="F59" s="79"/>
      <c r="G59" s="79"/>
      <c r="H59" s="80"/>
      <c r="I59" s="80"/>
      <c r="J59" s="80"/>
      <c r="K59" s="80"/>
      <c r="L59" s="80"/>
      <c r="M59" s="146"/>
      <c r="N59" s="146"/>
      <c r="O59" s="146"/>
      <c r="P59" s="146"/>
      <c r="Q59" s="146"/>
      <c r="R59" s="142"/>
      <c r="S59" s="142"/>
    </row>
    <row r="60" spans="1:19" s="58" customFormat="1" ht="18" customHeight="1" outlineLevel="1" x14ac:dyDescent="0.45">
      <c r="A60" s="79"/>
      <c r="B60" s="79"/>
      <c r="C60" s="79"/>
      <c r="D60" s="79"/>
      <c r="E60" s="79"/>
      <c r="F60" s="156"/>
      <c r="G60" s="79"/>
      <c r="H60" s="124"/>
      <c r="I60" s="124"/>
      <c r="J60" s="124"/>
      <c r="K60" s="124"/>
      <c r="L60" s="124"/>
      <c r="M60" s="146"/>
      <c r="N60" s="146"/>
      <c r="O60" s="146"/>
      <c r="P60" s="146"/>
      <c r="Q60" s="146"/>
      <c r="R60" s="142"/>
      <c r="S60" s="142"/>
    </row>
    <row r="61" spans="1:19" s="58" customFormat="1" ht="18" customHeight="1" outlineLevel="1" x14ac:dyDescent="0.45">
      <c r="A61" s="79"/>
      <c r="B61" s="79"/>
      <c r="C61" s="79"/>
      <c r="D61" s="79"/>
      <c r="E61" s="79"/>
      <c r="F61" s="156"/>
      <c r="G61" s="79"/>
      <c r="H61" s="124"/>
      <c r="I61" s="124"/>
      <c r="J61" s="124"/>
      <c r="K61" s="124"/>
      <c r="L61" s="124"/>
      <c r="M61" s="146"/>
      <c r="N61" s="146"/>
      <c r="O61" s="146"/>
      <c r="P61" s="146"/>
      <c r="Q61" s="146"/>
      <c r="R61" s="142"/>
      <c r="S61" s="142"/>
    </row>
    <row r="62" spans="1:19" s="58" customFormat="1" ht="18" customHeight="1" outlineLevel="1" x14ac:dyDescent="0.45">
      <c r="A62" s="79"/>
      <c r="B62" s="79"/>
      <c r="C62" s="79"/>
      <c r="D62" s="79"/>
      <c r="E62" s="79"/>
      <c r="F62" s="156"/>
      <c r="G62" s="79"/>
      <c r="H62" s="124"/>
      <c r="I62" s="124"/>
      <c r="J62" s="124"/>
      <c r="K62" s="124"/>
      <c r="L62" s="124"/>
      <c r="M62" s="146"/>
      <c r="N62" s="146"/>
      <c r="O62" s="146"/>
      <c r="P62" s="146"/>
      <c r="Q62" s="146"/>
      <c r="R62" s="142"/>
      <c r="S62" s="142"/>
    </row>
    <row r="63" spans="1:19" s="58" customFormat="1" ht="18" customHeight="1" outlineLevel="1" x14ac:dyDescent="0.45">
      <c r="A63" s="79"/>
      <c r="B63" s="79"/>
      <c r="C63" s="79"/>
      <c r="D63" s="79"/>
      <c r="E63" s="79"/>
      <c r="F63" s="156"/>
      <c r="G63" s="79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42"/>
      <c r="S63" s="142"/>
    </row>
    <row r="64" spans="1:19" s="58" customFormat="1" ht="18" customHeight="1" outlineLevel="1" x14ac:dyDescent="0.45">
      <c r="A64" s="79"/>
      <c r="B64" s="79"/>
      <c r="C64" s="79"/>
      <c r="D64" s="79"/>
      <c r="E64" s="79"/>
      <c r="F64" s="156"/>
      <c r="G64" s="79"/>
      <c r="H64" s="124"/>
      <c r="I64" s="124"/>
      <c r="J64" s="124"/>
      <c r="K64" s="124"/>
      <c r="L64" s="124"/>
      <c r="M64" s="146"/>
      <c r="N64" s="146"/>
      <c r="O64" s="146"/>
      <c r="P64" s="146"/>
      <c r="Q64" s="146"/>
      <c r="R64" s="142"/>
      <c r="S64" s="142"/>
    </row>
    <row r="65" spans="1:19" s="58" customFormat="1" ht="18" customHeight="1" outlineLevel="1" x14ac:dyDescent="0.45">
      <c r="A65" s="79"/>
      <c r="B65" s="79"/>
      <c r="C65" s="79"/>
      <c r="D65" s="53"/>
      <c r="E65" s="53"/>
      <c r="F65" s="155"/>
      <c r="G65" s="53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2"/>
      <c r="S65" s="142"/>
    </row>
    <row r="66" spans="1:19" s="58" customFormat="1" ht="18" customHeight="1" outlineLevel="1" x14ac:dyDescent="0.45">
      <c r="A66" s="79"/>
      <c r="B66" s="79"/>
      <c r="C66" s="53"/>
      <c r="D66" s="79"/>
      <c r="E66" s="79"/>
      <c r="F66" s="156"/>
      <c r="G66" s="79"/>
      <c r="H66" s="80"/>
      <c r="I66" s="80"/>
      <c r="J66" s="80"/>
      <c r="K66" s="80"/>
      <c r="L66" s="80"/>
      <c r="M66" s="146"/>
      <c r="N66" s="146"/>
      <c r="O66" s="146"/>
      <c r="P66" s="146"/>
      <c r="Q66" s="146"/>
      <c r="R66" s="142"/>
      <c r="S66" s="142"/>
    </row>
    <row r="67" spans="1:19" s="58" customFormat="1" ht="18" customHeight="1" outlineLevel="1" x14ac:dyDescent="0.45">
      <c r="A67" s="79"/>
      <c r="B67" s="79"/>
      <c r="C67" s="79"/>
      <c r="D67" s="79"/>
      <c r="E67" s="79"/>
      <c r="F67" s="156"/>
      <c r="G67" s="79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42"/>
      <c r="S67" s="142"/>
    </row>
    <row r="68" spans="1:19" s="58" customFormat="1" ht="18" customHeight="1" outlineLevel="1" x14ac:dyDescent="0.45">
      <c r="A68" s="79"/>
      <c r="B68" s="79"/>
      <c r="C68" s="79"/>
      <c r="D68" s="79"/>
      <c r="E68" s="79"/>
      <c r="F68" s="156"/>
      <c r="G68" s="79"/>
      <c r="H68" s="124"/>
      <c r="I68" s="124"/>
      <c r="J68" s="124"/>
      <c r="K68" s="124"/>
      <c r="L68" s="124"/>
      <c r="M68" s="146"/>
      <c r="N68" s="146"/>
      <c r="O68" s="146"/>
      <c r="P68" s="146"/>
      <c r="Q68" s="146"/>
      <c r="R68" s="142"/>
      <c r="S68" s="142"/>
    </row>
    <row r="69" spans="1:19" s="58" customFormat="1" ht="18" customHeight="1" outlineLevel="1" x14ac:dyDescent="0.45">
      <c r="A69" s="79"/>
      <c r="B69" s="79"/>
      <c r="C69" s="79"/>
      <c r="D69" s="53"/>
      <c r="E69" s="53"/>
      <c r="F69" s="155"/>
      <c r="G69" s="53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2"/>
      <c r="S69" s="142"/>
    </row>
    <row r="70" spans="1:19" s="58" customFormat="1" ht="18" customHeight="1" outlineLevel="1" x14ac:dyDescent="0.45">
      <c r="A70" s="79"/>
      <c r="B70" s="79"/>
      <c r="C70" s="79"/>
      <c r="D70" s="79"/>
      <c r="E70" s="79"/>
      <c r="F70" s="156"/>
      <c r="G70" s="79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42"/>
      <c r="S70" s="142"/>
    </row>
    <row r="71" spans="1:19" s="58" customFormat="1" ht="18.75" customHeight="1" outlineLevel="1" x14ac:dyDescent="0.45">
      <c r="A71" s="79"/>
      <c r="B71" s="79"/>
      <c r="C71" s="79"/>
      <c r="D71" s="53"/>
      <c r="E71" s="53"/>
      <c r="F71" s="155"/>
      <c r="G71" s="53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2"/>
      <c r="S71" s="142"/>
    </row>
    <row r="72" spans="1:19" s="58" customFormat="1" ht="18.75" customHeight="1" outlineLevel="1" x14ac:dyDescent="0.45">
      <c r="A72" s="79"/>
      <c r="B72" s="79"/>
      <c r="C72" s="79"/>
      <c r="D72" s="79"/>
      <c r="E72" s="79"/>
      <c r="F72" s="79"/>
      <c r="G72" s="79"/>
      <c r="H72" s="124"/>
      <c r="I72" s="124"/>
      <c r="J72" s="124"/>
      <c r="K72" s="124"/>
      <c r="L72" s="124"/>
      <c r="M72" s="146"/>
      <c r="N72" s="146"/>
      <c r="O72" s="146"/>
      <c r="P72" s="146"/>
      <c r="Q72" s="146"/>
      <c r="R72" s="142"/>
      <c r="S72" s="142"/>
    </row>
    <row r="73" spans="1:19" s="58" customFormat="1" ht="18" customHeight="1" outlineLevel="1" x14ac:dyDescent="0.45">
      <c r="A73" s="79"/>
      <c r="B73" s="79"/>
      <c r="C73" s="79"/>
      <c r="D73" s="79"/>
      <c r="E73" s="79"/>
      <c r="F73" s="79"/>
      <c r="G73" s="79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42"/>
      <c r="S73" s="142"/>
    </row>
    <row r="74" spans="1:19" s="58" customFormat="1" ht="18" customHeight="1" outlineLevel="1" x14ac:dyDescent="0.45">
      <c r="A74" s="79"/>
      <c r="B74" s="79"/>
      <c r="C74" s="79"/>
      <c r="D74" s="79"/>
      <c r="E74" s="79"/>
      <c r="F74" s="79"/>
      <c r="G74" s="79"/>
      <c r="H74" s="124"/>
      <c r="I74" s="124"/>
      <c r="J74" s="124"/>
      <c r="K74" s="124"/>
      <c r="L74" s="124"/>
      <c r="M74" s="150"/>
      <c r="N74" s="150"/>
      <c r="O74" s="150"/>
      <c r="P74" s="150"/>
      <c r="Q74" s="150"/>
      <c r="R74" s="142"/>
      <c r="S74" s="142"/>
    </row>
    <row r="75" spans="1:19" s="58" customFormat="1" ht="18" customHeight="1" x14ac:dyDescent="0.45">
      <c r="A75" s="79"/>
      <c r="B75" s="79"/>
      <c r="C75" s="79"/>
      <c r="D75" s="79"/>
      <c r="E75" s="79"/>
      <c r="F75" s="79"/>
      <c r="G75" s="79"/>
      <c r="H75" s="124"/>
      <c r="I75" s="124"/>
      <c r="J75" s="124"/>
      <c r="K75" s="124"/>
      <c r="L75" s="124"/>
      <c r="M75" s="150"/>
      <c r="N75" s="150"/>
      <c r="O75" s="150"/>
      <c r="P75" s="150"/>
      <c r="Q75" s="150"/>
      <c r="R75" s="142"/>
      <c r="S75" s="142"/>
    </row>
    <row r="76" spans="1:19" s="58" customFormat="1" ht="18" customHeight="1" x14ac:dyDescent="0.45">
      <c r="A76" s="79"/>
      <c r="B76" s="79"/>
      <c r="C76" s="79"/>
      <c r="D76" s="79"/>
      <c r="E76" s="79"/>
      <c r="F76" s="79"/>
      <c r="G76" s="79"/>
      <c r="H76" s="124"/>
      <c r="I76" s="124"/>
      <c r="J76" s="124"/>
      <c r="K76" s="124"/>
      <c r="L76" s="124"/>
      <c r="M76" s="150"/>
      <c r="N76" s="150"/>
      <c r="O76" s="150"/>
      <c r="P76" s="150"/>
      <c r="Q76" s="150"/>
      <c r="R76" s="142"/>
      <c r="S76" s="142"/>
    </row>
    <row r="77" spans="1:19" s="58" customFormat="1" ht="20.25" customHeight="1" x14ac:dyDescent="0.4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142"/>
      <c r="S77" s="142"/>
    </row>
    <row r="78" spans="1:19" s="58" customFormat="1" ht="18" customHeight="1" x14ac:dyDescent="0.45">
      <c r="A78" s="79"/>
      <c r="B78" s="79"/>
      <c r="C78" s="79"/>
      <c r="D78" s="79"/>
      <c r="E78" s="79"/>
      <c r="F78" s="79"/>
      <c r="G78" s="79"/>
      <c r="H78" s="124"/>
      <c r="I78" s="124"/>
      <c r="J78" s="124"/>
      <c r="K78" s="124"/>
      <c r="L78" s="124"/>
      <c r="M78" s="150"/>
      <c r="N78" s="150"/>
      <c r="O78" s="150"/>
      <c r="P78" s="150"/>
      <c r="Q78" s="150"/>
      <c r="R78" s="142"/>
      <c r="S78" s="142"/>
    </row>
    <row r="79" spans="1:19" s="58" customFormat="1" ht="18" customHeight="1" outlineLevel="1" x14ac:dyDescent="0.45">
      <c r="A79" s="79"/>
      <c r="B79" s="79"/>
      <c r="C79" s="79"/>
      <c r="D79" s="79"/>
      <c r="E79" s="79"/>
      <c r="F79" s="79"/>
      <c r="G79" s="79"/>
      <c r="H79" s="124"/>
      <c r="I79" s="124"/>
      <c r="J79" s="124"/>
      <c r="K79" s="124"/>
      <c r="L79" s="124"/>
      <c r="M79" s="150"/>
      <c r="N79" s="150"/>
      <c r="O79" s="150"/>
      <c r="P79" s="150"/>
      <c r="Q79" s="150"/>
    </row>
    <row r="80" spans="1:19" s="58" customFormat="1" ht="18" customHeight="1" outlineLevel="1" x14ac:dyDescent="0.45">
      <c r="A80" s="79"/>
      <c r="B80" s="79"/>
      <c r="C80" s="79"/>
      <c r="D80" s="79"/>
      <c r="E80" s="79"/>
      <c r="F80" s="156"/>
      <c r="G80" s="79"/>
      <c r="H80" s="124"/>
      <c r="I80" s="124"/>
      <c r="J80" s="124"/>
      <c r="K80" s="124"/>
      <c r="L80" s="124"/>
      <c r="M80" s="146"/>
      <c r="N80" s="146"/>
      <c r="O80" s="146"/>
      <c r="P80" s="146"/>
      <c r="Q80" s="146"/>
    </row>
    <row r="81" spans="1:17" s="58" customFormat="1" ht="18" customHeight="1" outlineLevel="1" x14ac:dyDescent="0.45">
      <c r="A81" s="79"/>
      <c r="B81" s="79"/>
      <c r="C81" s="79"/>
      <c r="D81" s="79"/>
      <c r="E81" s="79"/>
      <c r="F81" s="156"/>
      <c r="G81" s="79"/>
      <c r="H81" s="124"/>
      <c r="I81" s="124"/>
      <c r="J81" s="124"/>
      <c r="K81" s="124"/>
      <c r="L81" s="124"/>
      <c r="M81" s="146"/>
      <c r="N81" s="146"/>
      <c r="O81" s="146"/>
      <c r="P81" s="146"/>
      <c r="Q81" s="146"/>
    </row>
    <row r="82" spans="1:17" s="58" customFormat="1" ht="18" customHeight="1" outlineLevel="1" x14ac:dyDescent="0.45">
      <c r="A82" s="79"/>
      <c r="B82" s="79"/>
      <c r="C82" s="79"/>
      <c r="D82" s="79"/>
      <c r="E82" s="79"/>
      <c r="F82" s="156"/>
      <c r="G82" s="79"/>
      <c r="H82" s="124"/>
      <c r="I82" s="124"/>
      <c r="J82" s="124"/>
      <c r="K82" s="124"/>
      <c r="L82" s="124"/>
      <c r="M82" s="146"/>
      <c r="N82" s="146"/>
      <c r="O82" s="146"/>
      <c r="P82" s="146"/>
      <c r="Q82" s="146"/>
    </row>
    <row r="83" spans="1:17" s="58" customFormat="1" ht="18" customHeight="1" outlineLevel="1" x14ac:dyDescent="0.45">
      <c r="A83" s="79"/>
      <c r="B83" s="79"/>
      <c r="C83" s="79"/>
      <c r="D83" s="79"/>
      <c r="E83" s="79"/>
      <c r="F83" s="156"/>
      <c r="G83" s="79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s="58" customFormat="1" ht="18" customHeight="1" outlineLevel="1" x14ac:dyDescent="0.45">
      <c r="A84" s="79"/>
      <c r="B84" s="79"/>
      <c r="C84" s="79"/>
      <c r="D84" s="25"/>
      <c r="E84" s="25"/>
      <c r="F84" s="158"/>
      <c r="G84" s="25"/>
      <c r="H84" s="159"/>
      <c r="I84" s="159"/>
      <c r="J84" s="159"/>
      <c r="K84" s="159"/>
      <c r="L84" s="159"/>
      <c r="M84" s="159"/>
      <c r="N84" s="159"/>
      <c r="O84" s="159"/>
      <c r="P84" s="159"/>
      <c r="Q84" s="159"/>
    </row>
    <row r="85" spans="1:17" s="58" customFormat="1" ht="18" customHeight="1" outlineLevel="1" x14ac:dyDescent="0.45">
      <c r="A85" s="79"/>
      <c r="B85" s="79"/>
      <c r="C85" s="79"/>
      <c r="D85" s="79"/>
      <c r="E85" s="79"/>
      <c r="F85" s="156"/>
      <c r="G85" s="79"/>
      <c r="H85" s="124"/>
      <c r="I85" s="124"/>
      <c r="J85" s="124"/>
      <c r="K85" s="124"/>
      <c r="L85" s="124"/>
      <c r="M85" s="146"/>
      <c r="N85" s="146"/>
      <c r="O85" s="146"/>
      <c r="P85" s="146"/>
      <c r="Q85" s="146"/>
    </row>
    <row r="86" spans="1:17" s="58" customFormat="1" ht="18" customHeight="1" outlineLevel="1" x14ac:dyDescent="0.45">
      <c r="A86" s="79"/>
      <c r="B86" s="79"/>
      <c r="C86" s="79"/>
      <c r="D86" s="79"/>
      <c r="E86" s="79"/>
      <c r="F86" s="156"/>
      <c r="G86" s="79"/>
      <c r="H86" s="124"/>
      <c r="I86" s="124"/>
      <c r="J86" s="124"/>
      <c r="K86" s="124"/>
      <c r="L86" s="124"/>
      <c r="M86" s="146"/>
      <c r="N86" s="146"/>
      <c r="O86" s="146"/>
      <c r="P86" s="146"/>
      <c r="Q86" s="146"/>
    </row>
    <row r="87" spans="1:17" s="58" customFormat="1" ht="18" customHeight="1" outlineLevel="1" x14ac:dyDescent="0.45">
      <c r="A87" s="79"/>
      <c r="B87" s="79"/>
      <c r="C87" s="79"/>
      <c r="D87" s="79"/>
      <c r="E87" s="79"/>
      <c r="F87" s="156"/>
      <c r="G87" s="79"/>
      <c r="H87" s="124"/>
      <c r="I87" s="124"/>
      <c r="J87" s="124"/>
      <c r="K87" s="124"/>
      <c r="L87" s="124"/>
      <c r="M87" s="146"/>
      <c r="N87" s="146"/>
      <c r="O87" s="146"/>
      <c r="P87" s="146"/>
      <c r="Q87" s="146"/>
    </row>
    <row r="88" spans="1:17" s="58" customFormat="1" ht="18" customHeight="1" outlineLevel="1" x14ac:dyDescent="0.45">
      <c r="A88" s="79"/>
      <c r="B88" s="79"/>
      <c r="C88" s="79"/>
      <c r="D88" s="79"/>
      <c r="E88" s="79"/>
      <c r="F88" s="156"/>
      <c r="G88" s="79"/>
      <c r="H88" s="124"/>
      <c r="I88" s="124"/>
      <c r="J88" s="124"/>
      <c r="K88" s="124"/>
      <c r="L88" s="124"/>
      <c r="M88" s="146"/>
      <c r="N88" s="146"/>
      <c r="O88" s="146"/>
      <c r="P88" s="146"/>
      <c r="Q88" s="146"/>
    </row>
    <row r="89" spans="1:17" s="58" customFormat="1" ht="18" customHeight="1" outlineLevel="1" x14ac:dyDescent="0.45">
      <c r="A89" s="79"/>
      <c r="B89" s="79"/>
      <c r="C89" s="79"/>
      <c r="D89" s="79"/>
      <c r="E89" s="79"/>
      <c r="F89" s="156"/>
      <c r="G89" s="79"/>
      <c r="H89" s="124"/>
      <c r="I89" s="124"/>
      <c r="J89" s="124"/>
      <c r="K89" s="124"/>
      <c r="L89" s="124"/>
      <c r="M89" s="146"/>
      <c r="N89" s="146"/>
      <c r="O89" s="146"/>
      <c r="P89" s="146"/>
      <c r="Q89" s="146"/>
    </row>
    <row r="90" spans="1:17" s="58" customFormat="1" ht="18" customHeight="1" outlineLevel="1" x14ac:dyDescent="0.45">
      <c r="A90" s="79"/>
      <c r="B90" s="79"/>
      <c r="C90" s="79"/>
      <c r="D90" s="123"/>
      <c r="E90" s="79"/>
      <c r="F90" s="156"/>
      <c r="G90" s="79"/>
      <c r="H90" s="124"/>
      <c r="I90" s="124"/>
      <c r="J90" s="124"/>
      <c r="K90" s="124"/>
      <c r="L90" s="124"/>
      <c r="M90" s="146"/>
      <c r="N90" s="146"/>
      <c r="O90" s="146"/>
      <c r="P90" s="146"/>
      <c r="Q90" s="146"/>
    </row>
    <row r="91" spans="1:17" s="58" customFormat="1" ht="18" customHeight="1" outlineLevel="1" x14ac:dyDescent="0.45">
      <c r="A91" s="79"/>
      <c r="B91" s="79"/>
      <c r="C91" s="79"/>
      <c r="D91" s="123"/>
      <c r="E91" s="79"/>
      <c r="F91" s="156"/>
      <c r="G91" s="79"/>
      <c r="H91" s="124"/>
      <c r="I91" s="124"/>
      <c r="J91" s="124"/>
      <c r="K91" s="124"/>
      <c r="L91" s="124"/>
      <c r="M91" s="146"/>
      <c r="N91" s="146"/>
      <c r="O91" s="146"/>
      <c r="P91" s="146"/>
      <c r="Q91" s="146"/>
    </row>
    <row r="92" spans="1:17" s="58" customFormat="1" ht="18" customHeight="1" outlineLevel="1" x14ac:dyDescent="0.45">
      <c r="A92" s="79"/>
      <c r="B92" s="79"/>
      <c r="C92" s="79"/>
      <c r="D92" s="123"/>
      <c r="E92" s="79"/>
      <c r="F92" s="156"/>
      <c r="G92" s="79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 spans="1:17" s="58" customFormat="1" ht="18" customHeight="1" outlineLevel="1" x14ac:dyDescent="0.45">
      <c r="A93" s="79"/>
      <c r="B93" s="79"/>
      <c r="C93" s="79"/>
      <c r="D93" s="25"/>
      <c r="E93" s="25"/>
      <c r="F93" s="158"/>
      <c r="G93" s="25"/>
      <c r="H93" s="159"/>
      <c r="I93" s="159"/>
      <c r="J93" s="159"/>
      <c r="K93" s="159"/>
      <c r="L93" s="159"/>
      <c r="M93" s="159"/>
      <c r="N93" s="159"/>
      <c r="O93" s="159"/>
      <c r="P93" s="159"/>
      <c r="Q93" s="159"/>
    </row>
    <row r="94" spans="1:17" s="58" customFormat="1" ht="18" customHeight="1" outlineLevel="1" x14ac:dyDescent="0.45">
      <c r="A94" s="79"/>
      <c r="B94" s="79"/>
      <c r="C94" s="79"/>
      <c r="D94" s="79"/>
      <c r="E94" s="79"/>
      <c r="F94" s="79"/>
      <c r="G94" s="79"/>
      <c r="H94" s="124"/>
      <c r="I94" s="124"/>
      <c r="J94" s="124"/>
      <c r="K94" s="124"/>
      <c r="L94" s="124"/>
      <c r="M94" s="146"/>
      <c r="N94" s="146"/>
      <c r="O94" s="146"/>
      <c r="P94" s="146"/>
      <c r="Q94" s="146"/>
    </row>
    <row r="95" spans="1:17" s="58" customFormat="1" ht="18" customHeight="1" outlineLevel="1" x14ac:dyDescent="0.45">
      <c r="A95" s="79"/>
      <c r="B95" s="79"/>
      <c r="C95" s="79"/>
      <c r="D95" s="79"/>
      <c r="E95" s="79"/>
      <c r="F95" s="79"/>
      <c r="G95" s="79"/>
      <c r="H95" s="124"/>
      <c r="I95" s="124"/>
      <c r="J95" s="124"/>
      <c r="K95" s="124"/>
      <c r="L95" s="124"/>
      <c r="M95" s="146"/>
      <c r="N95" s="146"/>
      <c r="O95" s="146"/>
      <c r="P95" s="146"/>
      <c r="Q95" s="146"/>
    </row>
    <row r="96" spans="1:17" s="58" customFormat="1" ht="18" customHeight="1" outlineLevel="1" x14ac:dyDescent="0.45">
      <c r="A96" s="79"/>
      <c r="B96" s="79"/>
      <c r="C96" s="79"/>
      <c r="D96" s="79"/>
      <c r="E96" s="79"/>
      <c r="F96" s="156"/>
      <c r="G96" s="79"/>
      <c r="H96" s="124"/>
      <c r="I96" s="124"/>
      <c r="J96" s="124"/>
      <c r="K96" s="124"/>
      <c r="L96" s="124"/>
      <c r="M96" s="146"/>
      <c r="N96" s="146"/>
      <c r="O96" s="146"/>
      <c r="P96" s="146"/>
      <c r="Q96" s="146"/>
    </row>
    <row r="97" spans="1:17" s="58" customFormat="1" ht="18" customHeight="1" outlineLevel="1" x14ac:dyDescent="0.45">
      <c r="A97" s="79"/>
      <c r="B97" s="79"/>
      <c r="C97" s="79"/>
      <c r="D97" s="79"/>
      <c r="E97" s="79"/>
      <c r="F97" s="156"/>
      <c r="G97" s="79"/>
      <c r="H97" s="124"/>
      <c r="I97" s="124"/>
      <c r="J97" s="124"/>
      <c r="K97" s="124"/>
      <c r="L97" s="124"/>
      <c r="M97" s="146"/>
      <c r="N97" s="146"/>
      <c r="O97" s="146"/>
      <c r="P97" s="146"/>
      <c r="Q97" s="146"/>
    </row>
    <row r="98" spans="1:17" s="58" customFormat="1" ht="18" customHeight="1" outlineLevel="1" x14ac:dyDescent="0.45">
      <c r="A98" s="79"/>
      <c r="B98" s="79"/>
      <c r="C98" s="79"/>
      <c r="D98" s="79"/>
      <c r="E98" s="79"/>
      <c r="F98" s="156"/>
      <c r="G98" s="79"/>
      <c r="H98" s="124"/>
      <c r="I98" s="124"/>
      <c r="J98" s="124"/>
      <c r="K98" s="124"/>
      <c r="L98" s="124"/>
      <c r="M98" s="146"/>
      <c r="N98" s="146"/>
      <c r="O98" s="146"/>
      <c r="P98" s="146"/>
      <c r="Q98" s="146"/>
    </row>
    <row r="99" spans="1:17" s="58" customFormat="1" ht="18" customHeight="1" outlineLevel="1" x14ac:dyDescent="0.45">
      <c r="A99" s="79"/>
      <c r="B99" s="79"/>
      <c r="C99" s="79"/>
      <c r="D99" s="79"/>
      <c r="E99" s="79"/>
      <c r="F99" s="156"/>
      <c r="G99" s="79"/>
      <c r="H99" s="124"/>
      <c r="I99" s="124"/>
      <c r="J99" s="124"/>
      <c r="K99" s="124"/>
      <c r="L99" s="124"/>
      <c r="M99" s="146"/>
      <c r="N99" s="146"/>
      <c r="O99" s="146"/>
      <c r="P99" s="146"/>
      <c r="Q99" s="146"/>
    </row>
    <row r="100" spans="1:17" s="58" customFormat="1" ht="18" customHeight="1" outlineLevel="1" x14ac:dyDescent="0.45">
      <c r="A100" s="79"/>
      <c r="B100" s="79"/>
      <c r="C100" s="79"/>
      <c r="D100" s="25"/>
      <c r="E100" s="25"/>
      <c r="F100" s="158"/>
      <c r="G100" s="25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</row>
    <row r="101" spans="1:17" s="58" customFormat="1" ht="18" customHeight="1" outlineLevel="1" x14ac:dyDescent="0.45">
      <c r="A101" s="79"/>
      <c r="B101" s="79"/>
      <c r="C101" s="79"/>
      <c r="D101" s="79"/>
      <c r="E101" s="79"/>
      <c r="F101" s="79"/>
      <c r="G101" s="79"/>
      <c r="H101" s="124"/>
      <c r="I101" s="124"/>
      <c r="J101" s="124"/>
      <c r="K101" s="124"/>
      <c r="L101" s="124"/>
      <c r="M101" s="146"/>
      <c r="N101" s="146"/>
      <c r="O101" s="146"/>
      <c r="P101" s="146"/>
      <c r="Q101" s="146"/>
    </row>
    <row r="102" spans="1:17" s="58" customFormat="1" ht="18" customHeight="1" outlineLevel="1" x14ac:dyDescent="0.45">
      <c r="A102" s="79"/>
      <c r="B102" s="79"/>
      <c r="C102" s="142"/>
      <c r="D102" s="79"/>
      <c r="E102" s="79"/>
      <c r="F102" s="156"/>
      <c r="G102" s="79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s="58" customFormat="1" ht="18" customHeight="1" outlineLevel="1" x14ac:dyDescent="0.45">
      <c r="A103" s="79"/>
      <c r="B103" s="79"/>
      <c r="C103" s="79"/>
      <c r="D103" s="79"/>
      <c r="E103" s="79"/>
      <c r="F103" s="156"/>
      <c r="G103" s="79"/>
      <c r="H103" s="124"/>
      <c r="I103" s="124"/>
      <c r="J103" s="124"/>
      <c r="K103" s="124"/>
      <c r="L103" s="124"/>
      <c r="M103" s="146"/>
      <c r="N103" s="146"/>
      <c r="O103" s="146"/>
      <c r="P103" s="146"/>
      <c r="Q103" s="146"/>
    </row>
    <row r="104" spans="1:17" s="58" customFormat="1" ht="18" customHeight="1" outlineLevel="1" x14ac:dyDescent="0.45">
      <c r="A104" s="79"/>
      <c r="B104" s="79"/>
      <c r="C104" s="79"/>
      <c r="D104" s="53"/>
      <c r="E104" s="53"/>
      <c r="F104" s="155"/>
      <c r="G104" s="53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</row>
    <row r="105" spans="1:17" s="58" customFormat="1" ht="18" customHeight="1" outlineLevel="1" x14ac:dyDescent="0.45">
      <c r="A105" s="79"/>
      <c r="B105" s="79"/>
      <c r="C105" s="79"/>
      <c r="D105" s="79"/>
      <c r="E105" s="79"/>
      <c r="F105" s="79"/>
      <c r="G105" s="79"/>
      <c r="H105" s="124"/>
      <c r="I105" s="124"/>
      <c r="J105" s="124"/>
      <c r="K105" s="124"/>
      <c r="L105" s="124"/>
      <c r="M105" s="142"/>
      <c r="N105" s="142"/>
      <c r="O105" s="142"/>
      <c r="P105" s="142"/>
      <c r="Q105" s="142"/>
    </row>
    <row r="106" spans="1:17" s="58" customFormat="1" ht="18" customHeight="1" x14ac:dyDescent="0.45">
      <c r="A106" s="79"/>
      <c r="B106" s="79"/>
      <c r="C106" s="79"/>
      <c r="D106" s="79"/>
      <c r="E106" s="79"/>
      <c r="F106" s="79"/>
      <c r="G106" s="79"/>
      <c r="H106" s="124"/>
      <c r="I106" s="124"/>
      <c r="J106" s="124"/>
      <c r="K106" s="124"/>
      <c r="L106" s="124"/>
      <c r="M106" s="142"/>
      <c r="N106" s="142"/>
      <c r="O106" s="142"/>
      <c r="P106" s="142"/>
      <c r="Q106" s="142"/>
    </row>
    <row r="107" spans="1:17" s="58" customFormat="1" ht="18" customHeight="1" x14ac:dyDescent="0.45">
      <c r="A107" s="79"/>
      <c r="B107" s="79"/>
      <c r="C107" s="79"/>
      <c r="D107" s="79"/>
      <c r="E107" s="79"/>
      <c r="F107" s="79"/>
      <c r="G107" s="79"/>
      <c r="H107" s="124"/>
      <c r="I107" s="124"/>
      <c r="J107" s="124"/>
      <c r="K107" s="124"/>
      <c r="L107" s="124"/>
      <c r="M107" s="142"/>
      <c r="N107" s="142"/>
      <c r="O107" s="142"/>
      <c r="P107" s="142"/>
      <c r="Q107" s="142"/>
    </row>
    <row r="108" spans="1:17" s="58" customFormat="1" ht="20.25" customHeight="1" x14ac:dyDescent="0.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</row>
    <row r="109" spans="1:17" s="58" customFormat="1" ht="18" customHeight="1" x14ac:dyDescent="0.45">
      <c r="A109" s="79"/>
      <c r="B109" s="79"/>
      <c r="C109" s="79"/>
      <c r="D109" s="79"/>
      <c r="E109" s="79"/>
      <c r="F109" s="79"/>
      <c r="G109" s="79"/>
      <c r="H109" s="124"/>
      <c r="I109" s="124"/>
      <c r="J109" s="124"/>
      <c r="K109" s="124"/>
      <c r="L109" s="124"/>
      <c r="M109" s="142"/>
      <c r="N109" s="142"/>
      <c r="O109" s="142"/>
      <c r="P109" s="142"/>
      <c r="Q109" s="142"/>
    </row>
    <row r="110" spans="1:17" s="58" customFormat="1" ht="18" customHeight="1" x14ac:dyDescent="0.45">
      <c r="A110" s="79"/>
      <c r="B110" s="79"/>
      <c r="C110" s="53"/>
      <c r="D110" s="79"/>
      <c r="E110" s="79"/>
      <c r="F110" s="79"/>
      <c r="G110" s="79"/>
      <c r="H110" s="124"/>
      <c r="I110" s="124"/>
      <c r="J110" s="124"/>
      <c r="K110" s="124"/>
      <c r="L110" s="124"/>
      <c r="M110" s="142"/>
      <c r="N110" s="142"/>
      <c r="O110" s="142"/>
      <c r="P110" s="142"/>
      <c r="Q110" s="142"/>
    </row>
    <row r="111" spans="1:17" s="58" customFormat="1" ht="18" customHeight="1" x14ac:dyDescent="0.45">
      <c r="A111" s="79"/>
      <c r="B111" s="79"/>
      <c r="C111" s="79"/>
      <c r="D111" s="79"/>
      <c r="E111" s="79"/>
      <c r="F111" s="156"/>
      <c r="G111" s="79"/>
      <c r="H111" s="124"/>
      <c r="I111" s="124"/>
      <c r="J111" s="124"/>
      <c r="K111" s="124"/>
      <c r="L111" s="124"/>
      <c r="M111" s="146"/>
      <c r="N111" s="146"/>
      <c r="O111" s="146"/>
      <c r="P111" s="146"/>
      <c r="Q111" s="146"/>
    </row>
    <row r="112" spans="1:17" s="58" customFormat="1" ht="18" customHeight="1" x14ac:dyDescent="0.45">
      <c r="A112" s="79"/>
      <c r="B112" s="79"/>
      <c r="C112" s="79"/>
      <c r="D112" s="79"/>
      <c r="E112" s="79"/>
      <c r="F112" s="156"/>
      <c r="G112" s="79"/>
      <c r="H112" s="124"/>
      <c r="I112" s="124"/>
      <c r="J112" s="124"/>
      <c r="K112" s="124"/>
      <c r="L112" s="124"/>
      <c r="M112" s="146"/>
      <c r="N112" s="146"/>
      <c r="O112" s="146"/>
      <c r="P112" s="146"/>
      <c r="Q112" s="146"/>
    </row>
    <row r="113" spans="1:17" s="58" customFormat="1" ht="18" customHeight="1" x14ac:dyDescent="0.45">
      <c r="A113" s="79"/>
      <c r="B113" s="79"/>
      <c r="C113" s="79"/>
      <c r="D113" s="79"/>
      <c r="E113" s="79"/>
      <c r="F113" s="156"/>
      <c r="G113" s="79"/>
      <c r="H113" s="124"/>
      <c r="I113" s="124"/>
      <c r="J113" s="124"/>
      <c r="K113" s="124"/>
      <c r="L113" s="124"/>
      <c r="M113" s="146"/>
      <c r="N113" s="146"/>
      <c r="O113" s="146"/>
      <c r="P113" s="146"/>
      <c r="Q113" s="146"/>
    </row>
    <row r="114" spans="1:17" s="58" customFormat="1" ht="18" customHeight="1" x14ac:dyDescent="0.45">
      <c r="A114" s="79"/>
      <c r="B114" s="79"/>
      <c r="C114" s="79"/>
      <c r="D114" s="79"/>
      <c r="E114" s="79"/>
      <c r="F114" s="156"/>
      <c r="G114" s="79"/>
      <c r="H114" s="124"/>
      <c r="I114" s="124"/>
      <c r="J114" s="124"/>
      <c r="K114" s="124"/>
      <c r="L114" s="124"/>
      <c r="M114" s="146"/>
      <c r="N114" s="146"/>
      <c r="O114" s="146"/>
      <c r="P114" s="146"/>
      <c r="Q114" s="146"/>
    </row>
    <row r="115" spans="1:17" s="58" customFormat="1" ht="18" customHeight="1" x14ac:dyDescent="0.45">
      <c r="A115" s="79"/>
      <c r="B115" s="79"/>
      <c r="C115" s="79"/>
      <c r="D115" s="25"/>
      <c r="E115" s="25"/>
      <c r="F115" s="158"/>
      <c r="G115" s="25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</row>
    <row r="116" spans="1:17" s="58" customFormat="1" ht="18" customHeight="1" x14ac:dyDescent="0.45">
      <c r="A116" s="79"/>
      <c r="B116" s="79"/>
      <c r="C116" s="79"/>
      <c r="D116" s="79"/>
      <c r="E116" s="79"/>
      <c r="F116" s="156"/>
      <c r="G116" s="79"/>
      <c r="H116" s="124"/>
      <c r="I116" s="124"/>
      <c r="J116" s="124"/>
      <c r="K116" s="124"/>
      <c r="L116" s="124"/>
      <c r="M116" s="142"/>
      <c r="N116" s="142"/>
      <c r="O116" s="142"/>
      <c r="P116" s="142"/>
      <c r="Q116" s="142"/>
    </row>
    <row r="117" spans="1:17" s="58" customFormat="1" ht="18" customHeight="1" x14ac:dyDescent="0.45">
      <c r="A117" s="79"/>
      <c r="B117" s="79"/>
      <c r="C117" s="79"/>
      <c r="D117" s="79"/>
      <c r="E117" s="79"/>
      <c r="F117" s="142"/>
      <c r="G117" s="79"/>
      <c r="H117" s="124"/>
      <c r="I117" s="124"/>
      <c r="J117" s="124"/>
      <c r="K117" s="124"/>
      <c r="L117" s="124"/>
      <c r="M117" s="142"/>
      <c r="N117" s="142"/>
      <c r="O117" s="142"/>
      <c r="P117" s="142"/>
      <c r="Q117" s="142"/>
    </row>
    <row r="118" spans="1:17" s="58" customFormat="1" ht="18" customHeight="1" x14ac:dyDescent="0.45">
      <c r="A118" s="79"/>
      <c r="B118" s="79"/>
      <c r="C118" s="79"/>
      <c r="D118" s="79"/>
      <c r="E118" s="79"/>
      <c r="F118" s="156"/>
      <c r="G118" s="79"/>
      <c r="H118" s="146"/>
      <c r="I118" s="124"/>
      <c r="J118" s="124"/>
      <c r="K118" s="124"/>
      <c r="L118" s="124"/>
      <c r="M118" s="146"/>
      <c r="N118" s="146"/>
      <c r="O118" s="146"/>
      <c r="P118" s="146"/>
      <c r="Q118" s="146"/>
    </row>
    <row r="119" spans="1:17" s="58" customFormat="1" ht="18" customHeight="1" x14ac:dyDescent="0.45">
      <c r="A119" s="79"/>
      <c r="B119" s="79"/>
      <c r="C119" s="79"/>
      <c r="D119" s="79"/>
      <c r="E119" s="79"/>
      <c r="F119" s="156"/>
      <c r="G119" s="79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s="58" customFormat="1" ht="18" customHeight="1" x14ac:dyDescent="0.45">
      <c r="A120" s="79"/>
      <c r="B120" s="79"/>
      <c r="C120" s="79"/>
      <c r="D120" s="79"/>
      <c r="E120" s="79"/>
      <c r="F120" s="156"/>
      <c r="G120" s="79"/>
      <c r="H120" s="124"/>
      <c r="I120" s="124"/>
      <c r="J120" s="124"/>
      <c r="K120" s="124"/>
      <c r="L120" s="124"/>
      <c r="M120" s="146"/>
      <c r="N120" s="146"/>
      <c r="O120" s="146"/>
      <c r="P120" s="146"/>
      <c r="Q120" s="146"/>
    </row>
    <row r="121" spans="1:17" s="58" customFormat="1" ht="18" customHeight="1" x14ac:dyDescent="0.45">
      <c r="A121" s="79"/>
      <c r="B121" s="79"/>
      <c r="C121" s="79"/>
      <c r="D121" s="53"/>
      <c r="E121" s="53"/>
      <c r="F121" s="158"/>
      <c r="G121" s="53"/>
      <c r="H121" s="124"/>
      <c r="I121" s="124"/>
      <c r="J121" s="124"/>
      <c r="K121" s="124"/>
      <c r="L121" s="124"/>
      <c r="M121" s="159"/>
      <c r="N121" s="159"/>
      <c r="O121" s="159"/>
      <c r="P121" s="159"/>
      <c r="Q121" s="159"/>
    </row>
    <row r="122" spans="1:17" s="58" customFormat="1" ht="18" customHeight="1" x14ac:dyDescent="0.45">
      <c r="A122" s="79"/>
      <c r="B122" s="79"/>
      <c r="C122" s="79"/>
      <c r="D122" s="79"/>
      <c r="E122" s="79"/>
      <c r="F122" s="79"/>
      <c r="G122" s="79"/>
      <c r="H122" s="124"/>
      <c r="I122" s="124"/>
      <c r="J122" s="124"/>
      <c r="K122" s="124"/>
      <c r="L122" s="124"/>
      <c r="M122" s="142"/>
      <c r="N122" s="142"/>
      <c r="O122" s="142"/>
      <c r="P122" s="142"/>
      <c r="Q122" s="142"/>
    </row>
    <row r="123" spans="1:17" s="58" customFormat="1" ht="18" customHeight="1" x14ac:dyDescent="0.45">
      <c r="A123" s="79"/>
      <c r="B123" s="79"/>
      <c r="C123" s="79"/>
      <c r="D123" s="79"/>
      <c r="E123" s="79"/>
      <c r="F123" s="79"/>
      <c r="G123" s="79"/>
      <c r="H123" s="124"/>
      <c r="I123" s="124"/>
      <c r="J123" s="124"/>
      <c r="K123" s="124"/>
      <c r="L123" s="124"/>
      <c r="M123" s="142"/>
      <c r="N123" s="142"/>
      <c r="O123" s="142"/>
      <c r="P123" s="142"/>
      <c r="Q123" s="142"/>
    </row>
    <row r="124" spans="1:17" s="58" customFormat="1" ht="18" customHeight="1" x14ac:dyDescent="0.45">
      <c r="A124" s="79"/>
      <c r="B124" s="79"/>
      <c r="C124" s="79"/>
      <c r="D124" s="79"/>
      <c r="E124" s="79"/>
      <c r="F124" s="156"/>
      <c r="G124" s="79"/>
      <c r="H124" s="124"/>
      <c r="I124" s="124"/>
      <c r="J124" s="124"/>
      <c r="K124" s="124"/>
      <c r="L124" s="124"/>
      <c r="M124" s="146"/>
      <c r="N124" s="146"/>
      <c r="O124" s="146"/>
      <c r="P124" s="146"/>
      <c r="Q124" s="146"/>
    </row>
    <row r="125" spans="1:17" s="58" customFormat="1" ht="18" customHeight="1" x14ac:dyDescent="0.45">
      <c r="A125" s="79"/>
      <c r="B125" s="79"/>
      <c r="C125" s="79"/>
      <c r="D125" s="79"/>
      <c r="E125" s="79"/>
      <c r="F125" s="156"/>
      <c r="G125" s="79"/>
      <c r="H125" s="124"/>
      <c r="I125" s="159"/>
      <c r="J125" s="159"/>
      <c r="K125" s="159"/>
      <c r="L125" s="159"/>
      <c r="M125" s="159"/>
      <c r="N125" s="159"/>
      <c r="O125" s="159"/>
      <c r="P125" s="159"/>
      <c r="Q125" s="159"/>
    </row>
    <row r="126" spans="1:17" s="58" customFormat="1" ht="18" customHeight="1" x14ac:dyDescent="0.45">
      <c r="A126" s="79"/>
      <c r="B126" s="79"/>
      <c r="C126" s="79"/>
      <c r="D126" s="79"/>
      <c r="E126" s="79"/>
      <c r="F126" s="158"/>
      <c r="G126" s="53"/>
      <c r="H126" s="124"/>
      <c r="I126" s="124"/>
      <c r="J126" s="124"/>
      <c r="K126" s="124"/>
      <c r="L126" s="124"/>
      <c r="M126" s="159"/>
      <c r="N126" s="159"/>
      <c r="O126" s="159"/>
      <c r="P126" s="159"/>
      <c r="Q126" s="159"/>
    </row>
    <row r="127" spans="1:17" s="58" customFormat="1" ht="18" customHeight="1" x14ac:dyDescent="0.45">
      <c r="A127" s="79"/>
      <c r="B127" s="79"/>
      <c r="C127" s="79"/>
      <c r="D127" s="79"/>
      <c r="E127" s="79"/>
      <c r="F127" s="156"/>
      <c r="G127" s="79"/>
      <c r="H127" s="124"/>
      <c r="I127" s="124"/>
      <c r="J127" s="124"/>
      <c r="K127" s="124"/>
      <c r="L127" s="124"/>
      <c r="M127" s="146"/>
      <c r="N127" s="146"/>
      <c r="O127" s="146"/>
      <c r="P127" s="146"/>
      <c r="Q127" s="146"/>
    </row>
    <row r="128" spans="1:17" s="58" customFormat="1" ht="18" customHeight="1" x14ac:dyDescent="0.45">
      <c r="A128" s="79"/>
      <c r="B128" s="79"/>
      <c r="C128" s="79"/>
      <c r="D128" s="79"/>
      <c r="E128" s="79"/>
      <c r="F128" s="79"/>
      <c r="G128" s="79"/>
      <c r="H128" s="124"/>
      <c r="I128" s="124"/>
      <c r="J128" s="124"/>
      <c r="K128" s="124"/>
      <c r="L128" s="124"/>
      <c r="M128" s="142"/>
      <c r="N128" s="142"/>
      <c r="O128" s="142"/>
      <c r="P128" s="142"/>
      <c r="Q128" s="142"/>
    </row>
    <row r="129" spans="1:17" s="58" customFormat="1" ht="18" customHeight="1" x14ac:dyDescent="0.45">
      <c r="A129" s="79"/>
      <c r="B129" s="79"/>
      <c r="C129" s="79"/>
      <c r="D129" s="79"/>
      <c r="E129" s="79"/>
      <c r="F129" s="79"/>
      <c r="G129" s="79"/>
      <c r="H129" s="124"/>
      <c r="I129" s="124"/>
      <c r="J129" s="124"/>
      <c r="K129" s="124"/>
      <c r="L129" s="124"/>
      <c r="M129" s="142"/>
      <c r="N129" s="142"/>
      <c r="O129" s="142"/>
      <c r="P129" s="142"/>
      <c r="Q129" s="142"/>
    </row>
    <row r="130" spans="1:17" s="58" customFormat="1" ht="18" customHeight="1" x14ac:dyDescent="0.45">
      <c r="A130" s="79"/>
      <c r="B130" s="79"/>
      <c r="C130" s="79"/>
      <c r="D130" s="79"/>
      <c r="E130" s="79"/>
      <c r="F130" s="79"/>
      <c r="G130" s="79"/>
      <c r="H130" s="124"/>
      <c r="I130" s="124"/>
      <c r="J130" s="124"/>
      <c r="K130" s="124"/>
      <c r="L130" s="124"/>
      <c r="M130" s="142"/>
      <c r="N130" s="142"/>
      <c r="O130" s="142"/>
      <c r="P130" s="142"/>
      <c r="Q130" s="142"/>
    </row>
    <row r="131" spans="1:17" s="58" customFormat="1" ht="18" customHeight="1" x14ac:dyDescent="0.45">
      <c r="A131" s="79"/>
      <c r="B131" s="79"/>
      <c r="C131" s="79"/>
      <c r="D131" s="79"/>
      <c r="E131" s="79"/>
      <c r="F131" s="79"/>
      <c r="G131" s="79"/>
      <c r="H131" s="124"/>
      <c r="I131" s="124"/>
      <c r="J131" s="124"/>
      <c r="K131" s="124"/>
      <c r="L131" s="124"/>
      <c r="M131" s="142"/>
      <c r="N131" s="142"/>
      <c r="O131" s="142"/>
      <c r="P131" s="142"/>
      <c r="Q131" s="142"/>
    </row>
    <row r="132" spans="1:17" s="58" customFormat="1" ht="18" customHeight="1" x14ac:dyDescent="0.45">
      <c r="A132" s="79"/>
      <c r="B132" s="79"/>
      <c r="C132" s="79"/>
      <c r="D132" s="79"/>
      <c r="E132" s="79"/>
      <c r="F132" s="79"/>
      <c r="G132" s="79"/>
      <c r="H132" s="124"/>
      <c r="I132" s="124"/>
      <c r="J132" s="124"/>
      <c r="K132" s="124"/>
      <c r="L132" s="124"/>
      <c r="M132" s="142"/>
      <c r="N132" s="142"/>
      <c r="O132" s="142"/>
      <c r="P132" s="142"/>
      <c r="Q132" s="142"/>
    </row>
    <row r="133" spans="1:17" s="58" customFormat="1" ht="18" customHeight="1" x14ac:dyDescent="0.45">
      <c r="A133" s="79"/>
      <c r="B133" s="79"/>
      <c r="C133" s="79"/>
      <c r="D133" s="79"/>
      <c r="E133" s="79"/>
      <c r="F133" s="79"/>
      <c r="G133" s="79"/>
      <c r="H133" s="124"/>
      <c r="I133" s="124"/>
      <c r="J133" s="124"/>
      <c r="K133" s="124"/>
      <c r="L133" s="124"/>
      <c r="M133" s="142"/>
      <c r="N133" s="142"/>
      <c r="O133" s="142"/>
      <c r="P133" s="142"/>
      <c r="Q133" s="142"/>
    </row>
    <row r="134" spans="1:17" s="58" customFormat="1" ht="18" customHeight="1" x14ac:dyDescent="0.45">
      <c r="A134" s="79"/>
      <c r="B134" s="79"/>
      <c r="C134" s="79"/>
      <c r="D134" s="79"/>
      <c r="E134" s="79"/>
      <c r="F134" s="79"/>
      <c r="G134" s="79"/>
      <c r="H134" s="124"/>
      <c r="I134" s="124"/>
      <c r="J134" s="124"/>
      <c r="K134" s="124"/>
      <c r="L134" s="124"/>
      <c r="M134" s="142"/>
      <c r="N134" s="142"/>
      <c r="O134" s="142"/>
      <c r="P134" s="142"/>
      <c r="Q134" s="142"/>
    </row>
    <row r="135" spans="1:17" s="58" customFormat="1" ht="18" customHeight="1" x14ac:dyDescent="0.45">
      <c r="A135" s="79"/>
      <c r="B135" s="79"/>
      <c r="C135" s="79"/>
      <c r="D135" s="79"/>
      <c r="E135" s="79"/>
      <c r="F135" s="79"/>
      <c r="G135" s="79"/>
      <c r="H135" s="124"/>
      <c r="I135" s="124"/>
      <c r="J135" s="124"/>
      <c r="K135" s="124"/>
      <c r="L135" s="124"/>
      <c r="M135" s="142"/>
      <c r="N135" s="142"/>
      <c r="O135" s="142"/>
      <c r="P135" s="142"/>
      <c r="Q135" s="142"/>
    </row>
    <row r="136" spans="1:17" s="58" customFormat="1" ht="18" customHeight="1" x14ac:dyDescent="0.45">
      <c r="A136" s="79"/>
      <c r="B136" s="79"/>
      <c r="C136" s="79"/>
      <c r="D136" s="79"/>
      <c r="E136" s="79"/>
      <c r="F136" s="79"/>
      <c r="G136" s="79"/>
      <c r="H136" s="124"/>
      <c r="I136" s="124"/>
      <c r="J136" s="124"/>
      <c r="K136" s="124"/>
      <c r="L136" s="124"/>
      <c r="M136" s="142"/>
      <c r="N136" s="142"/>
      <c r="O136" s="142"/>
      <c r="P136" s="142"/>
      <c r="Q136" s="142"/>
    </row>
    <row r="137" spans="1:17" s="58" customFormat="1" ht="18" customHeight="1" x14ac:dyDescent="0.45">
      <c r="A137" s="79"/>
      <c r="B137" s="79"/>
      <c r="C137" s="79"/>
      <c r="D137" s="79"/>
      <c r="E137" s="79"/>
      <c r="F137" s="79"/>
      <c r="G137" s="79"/>
      <c r="H137" s="124"/>
      <c r="I137" s="124"/>
      <c r="J137" s="124"/>
      <c r="K137" s="124"/>
      <c r="L137" s="124"/>
      <c r="M137" s="142"/>
      <c r="N137" s="142"/>
      <c r="O137" s="142"/>
      <c r="P137" s="142"/>
      <c r="Q137" s="142"/>
    </row>
    <row r="138" spans="1:17" s="58" customFormat="1" ht="18" customHeight="1" x14ac:dyDescent="0.45">
      <c r="A138" s="79"/>
      <c r="B138" s="79"/>
      <c r="C138" s="79"/>
      <c r="D138" s="79"/>
      <c r="E138" s="79"/>
      <c r="F138" s="79"/>
      <c r="G138" s="79"/>
      <c r="H138" s="124"/>
      <c r="I138" s="124"/>
      <c r="J138" s="124"/>
      <c r="K138" s="124"/>
      <c r="L138" s="124"/>
      <c r="M138" s="142"/>
      <c r="N138" s="142"/>
      <c r="O138" s="142"/>
      <c r="P138" s="142"/>
      <c r="Q138" s="142"/>
    </row>
    <row r="139" spans="1:17" s="58" customFormat="1" ht="18" customHeight="1" x14ac:dyDescent="0.45">
      <c r="A139" s="79"/>
      <c r="B139" s="79"/>
      <c r="C139" s="79"/>
      <c r="D139" s="79"/>
      <c r="E139" s="79"/>
      <c r="F139" s="79"/>
      <c r="G139" s="79"/>
      <c r="H139" s="124"/>
      <c r="I139" s="124"/>
      <c r="J139" s="124"/>
      <c r="K139" s="124"/>
      <c r="L139" s="124"/>
      <c r="M139" s="142"/>
      <c r="N139" s="142"/>
      <c r="O139" s="142"/>
      <c r="P139" s="142"/>
      <c r="Q139" s="142"/>
    </row>
    <row r="140" spans="1:17" s="58" customFormat="1" ht="18" customHeight="1" x14ac:dyDescent="0.45">
      <c r="A140" s="79"/>
      <c r="B140" s="79"/>
      <c r="C140" s="79"/>
      <c r="D140" s="79"/>
      <c r="E140" s="79"/>
      <c r="F140" s="79"/>
      <c r="G140" s="79"/>
      <c r="H140" s="124"/>
      <c r="I140" s="124"/>
      <c r="J140" s="124"/>
      <c r="K140" s="124"/>
      <c r="L140" s="124"/>
      <c r="M140" s="142"/>
      <c r="N140" s="142"/>
      <c r="O140" s="142"/>
      <c r="P140" s="142"/>
      <c r="Q140" s="142"/>
    </row>
    <row r="141" spans="1:17" s="58" customFormat="1" ht="18" customHeight="1" x14ac:dyDescent="0.45">
      <c r="A141" s="79"/>
      <c r="B141" s="79"/>
      <c r="C141" s="79"/>
      <c r="D141" s="79"/>
      <c r="E141" s="79"/>
      <c r="F141" s="79"/>
      <c r="G141" s="79"/>
      <c r="H141" s="124"/>
      <c r="I141" s="124"/>
      <c r="J141" s="124"/>
      <c r="K141" s="124"/>
      <c r="L141" s="124"/>
      <c r="M141" s="142"/>
      <c r="N141" s="142"/>
      <c r="O141" s="142"/>
      <c r="P141" s="142"/>
      <c r="Q141" s="142"/>
    </row>
    <row r="142" spans="1:17" s="58" customFormat="1" ht="18" customHeight="1" x14ac:dyDescent="0.45">
      <c r="A142" s="79"/>
      <c r="B142" s="79"/>
      <c r="C142" s="79"/>
      <c r="D142" s="79"/>
      <c r="E142" s="79"/>
      <c r="F142" s="79"/>
      <c r="G142" s="79"/>
      <c r="H142" s="124"/>
      <c r="I142" s="124"/>
      <c r="J142" s="124"/>
      <c r="K142" s="124"/>
      <c r="L142" s="124"/>
      <c r="M142" s="142"/>
      <c r="N142" s="142"/>
      <c r="O142" s="142"/>
      <c r="P142" s="142"/>
      <c r="Q142" s="142"/>
    </row>
    <row r="143" spans="1:17" s="58" customFormat="1" ht="18" customHeight="1" x14ac:dyDescent="0.45">
      <c r="A143" s="79"/>
      <c r="B143" s="79"/>
      <c r="C143" s="79"/>
      <c r="D143" s="79"/>
      <c r="E143" s="79"/>
      <c r="F143" s="79"/>
      <c r="G143" s="79"/>
      <c r="H143" s="124"/>
      <c r="I143" s="124"/>
      <c r="J143" s="124"/>
      <c r="K143" s="124"/>
      <c r="L143" s="124"/>
      <c r="M143" s="142"/>
      <c r="N143" s="142"/>
      <c r="O143" s="142"/>
      <c r="P143" s="142"/>
      <c r="Q143" s="142"/>
    </row>
    <row r="144" spans="1:17" s="58" customFormat="1" ht="18" customHeight="1" x14ac:dyDescent="0.45">
      <c r="A144" s="79"/>
      <c r="B144" s="79"/>
      <c r="C144" s="79"/>
      <c r="D144" s="79"/>
      <c r="E144" s="79"/>
      <c r="F144" s="79"/>
      <c r="G144" s="79"/>
      <c r="H144" s="124"/>
      <c r="I144" s="124"/>
      <c r="J144" s="124"/>
      <c r="K144" s="124"/>
      <c r="L144" s="124"/>
      <c r="M144" s="142"/>
      <c r="N144" s="142"/>
      <c r="O144" s="142"/>
      <c r="P144" s="142"/>
      <c r="Q144" s="142"/>
    </row>
    <row r="145" spans="1:17" s="58" customFormat="1" ht="18" customHeight="1" x14ac:dyDescent="0.45">
      <c r="A145" s="79"/>
      <c r="B145" s="79"/>
      <c r="C145" s="79"/>
      <c r="D145" s="79"/>
      <c r="E145" s="79"/>
      <c r="F145" s="79"/>
      <c r="G145" s="79"/>
      <c r="H145" s="124"/>
      <c r="I145" s="124"/>
      <c r="J145" s="124"/>
      <c r="K145" s="124"/>
      <c r="L145" s="124"/>
      <c r="M145" s="142"/>
      <c r="N145" s="142"/>
      <c r="O145" s="142"/>
      <c r="P145" s="142"/>
      <c r="Q145" s="142"/>
    </row>
    <row r="146" spans="1:17" s="58" customFormat="1" ht="18" customHeight="1" x14ac:dyDescent="0.45">
      <c r="A146" s="79"/>
      <c r="B146" s="79"/>
      <c r="C146" s="79"/>
      <c r="D146" s="79"/>
      <c r="E146" s="79"/>
      <c r="F146" s="79"/>
      <c r="G146" s="79"/>
      <c r="H146" s="124"/>
      <c r="I146" s="124"/>
      <c r="J146" s="124"/>
      <c r="K146" s="124"/>
      <c r="L146" s="124"/>
      <c r="M146" s="142"/>
      <c r="N146" s="142"/>
      <c r="O146" s="142"/>
      <c r="P146" s="142"/>
      <c r="Q146" s="142"/>
    </row>
    <row r="147" spans="1:17" s="58" customFormat="1" ht="18" customHeight="1" x14ac:dyDescent="0.45">
      <c r="A147" s="79"/>
      <c r="B147" s="79"/>
      <c r="C147" s="79"/>
      <c r="D147" s="79"/>
      <c r="E147" s="79"/>
      <c r="F147" s="79"/>
      <c r="G147" s="79"/>
      <c r="H147" s="124"/>
      <c r="I147" s="124"/>
      <c r="J147" s="124"/>
      <c r="K147" s="124"/>
      <c r="L147" s="124"/>
      <c r="M147" s="142"/>
      <c r="N147" s="142"/>
      <c r="O147" s="142"/>
      <c r="P147" s="142"/>
      <c r="Q147" s="142"/>
    </row>
    <row r="148" spans="1:17" s="58" customFormat="1" ht="18" customHeight="1" x14ac:dyDescent="0.45">
      <c r="A148" s="79"/>
      <c r="B148" s="79"/>
      <c r="C148" s="79"/>
      <c r="D148" s="79"/>
      <c r="E148" s="79"/>
      <c r="F148" s="79"/>
      <c r="G148" s="79"/>
      <c r="H148" s="124"/>
      <c r="I148" s="124"/>
      <c r="J148" s="124"/>
      <c r="K148" s="124"/>
      <c r="L148" s="124"/>
      <c r="M148" s="142"/>
      <c r="N148" s="142"/>
      <c r="O148" s="142"/>
      <c r="P148" s="142"/>
      <c r="Q148" s="142"/>
    </row>
    <row r="149" spans="1:17" s="58" customFormat="1" ht="18" customHeight="1" x14ac:dyDescent="0.45">
      <c r="A149" s="79"/>
      <c r="B149" s="79"/>
      <c r="C149" s="79"/>
      <c r="D149" s="79"/>
      <c r="E149" s="79"/>
      <c r="F149" s="79"/>
      <c r="G149" s="79"/>
      <c r="H149" s="124"/>
      <c r="I149" s="124"/>
      <c r="J149" s="124"/>
      <c r="K149" s="124"/>
      <c r="L149" s="124"/>
      <c r="M149" s="142"/>
      <c r="N149" s="142"/>
      <c r="O149" s="142"/>
      <c r="P149" s="142"/>
      <c r="Q149" s="142"/>
    </row>
    <row r="150" spans="1:17" s="58" customFormat="1" ht="18" customHeight="1" x14ac:dyDescent="0.45">
      <c r="A150" s="79"/>
      <c r="B150" s="79"/>
      <c r="C150" s="79"/>
      <c r="D150" s="79"/>
      <c r="E150" s="79"/>
      <c r="F150" s="79"/>
      <c r="G150" s="79"/>
      <c r="H150" s="124"/>
      <c r="I150" s="124"/>
      <c r="J150" s="124"/>
      <c r="K150" s="124"/>
      <c r="L150" s="124"/>
      <c r="M150" s="142"/>
      <c r="N150" s="142"/>
      <c r="O150" s="142"/>
      <c r="P150" s="142"/>
      <c r="Q150" s="142"/>
    </row>
    <row r="151" spans="1:17" s="58" customFormat="1" ht="18" customHeight="1" x14ac:dyDescent="0.45">
      <c r="A151" s="79"/>
      <c r="B151" s="79"/>
      <c r="C151" s="79"/>
      <c r="D151" s="79"/>
      <c r="E151" s="79"/>
      <c r="F151" s="79"/>
      <c r="G151" s="79"/>
      <c r="H151" s="124"/>
      <c r="I151" s="124"/>
      <c r="J151" s="124"/>
      <c r="K151" s="124"/>
      <c r="L151" s="124"/>
      <c r="M151" s="142"/>
      <c r="N151" s="142"/>
      <c r="O151" s="142"/>
      <c r="P151" s="142"/>
      <c r="Q151" s="142"/>
    </row>
    <row r="152" spans="1:17" s="58" customFormat="1" ht="18" customHeight="1" x14ac:dyDescent="0.45">
      <c r="A152" s="79"/>
      <c r="B152" s="79"/>
      <c r="C152" s="79"/>
      <c r="D152" s="79"/>
      <c r="E152" s="79"/>
      <c r="F152" s="79"/>
      <c r="G152" s="79"/>
      <c r="H152" s="124"/>
      <c r="I152" s="124"/>
      <c r="J152" s="124"/>
      <c r="K152" s="124"/>
      <c r="L152" s="124"/>
      <c r="M152" s="142"/>
      <c r="N152" s="142"/>
      <c r="O152" s="142"/>
      <c r="P152" s="142"/>
      <c r="Q152" s="142"/>
    </row>
    <row r="153" spans="1:17" s="58" customFormat="1" ht="18" customHeight="1" x14ac:dyDescent="0.45">
      <c r="A153" s="79"/>
      <c r="B153" s="79"/>
      <c r="C153" s="79"/>
      <c r="D153" s="79"/>
      <c r="E153" s="79"/>
      <c r="F153" s="79"/>
      <c r="G153" s="79"/>
      <c r="H153" s="124"/>
      <c r="I153" s="124"/>
      <c r="J153" s="124"/>
      <c r="K153" s="124"/>
      <c r="L153" s="124"/>
      <c r="M153" s="142"/>
      <c r="N153" s="142"/>
      <c r="O153" s="142"/>
      <c r="P153" s="142"/>
      <c r="Q153" s="142"/>
    </row>
    <row r="154" spans="1:17" s="58" customFormat="1" ht="18" customHeight="1" x14ac:dyDescent="0.45">
      <c r="A154" s="79"/>
      <c r="B154" s="79"/>
      <c r="C154" s="79"/>
      <c r="D154" s="79"/>
      <c r="E154" s="79"/>
      <c r="F154" s="79"/>
      <c r="G154" s="79"/>
      <c r="H154" s="124"/>
      <c r="I154" s="124"/>
      <c r="J154" s="124"/>
      <c r="K154" s="124"/>
      <c r="L154" s="124"/>
      <c r="M154" s="142"/>
      <c r="N154" s="142"/>
      <c r="O154" s="142"/>
      <c r="P154" s="142"/>
      <c r="Q154" s="142"/>
    </row>
    <row r="155" spans="1:17" s="58" customFormat="1" ht="18" customHeight="1" x14ac:dyDescent="0.45">
      <c r="A155" s="79"/>
      <c r="B155" s="79"/>
      <c r="C155" s="79"/>
      <c r="D155" s="79"/>
      <c r="E155" s="79"/>
      <c r="F155" s="79"/>
      <c r="G155" s="79"/>
      <c r="H155" s="124"/>
      <c r="I155" s="124"/>
      <c r="J155" s="124"/>
      <c r="K155" s="124"/>
      <c r="L155" s="124"/>
      <c r="M155" s="142"/>
      <c r="N155" s="142"/>
      <c r="O155" s="142"/>
      <c r="P155" s="142"/>
      <c r="Q155" s="142"/>
    </row>
    <row r="156" spans="1:17" s="58" customFormat="1" ht="18" customHeight="1" x14ac:dyDescent="0.45">
      <c r="A156" s="79"/>
      <c r="B156" s="79"/>
      <c r="C156" s="79"/>
      <c r="D156" s="79"/>
      <c r="E156" s="79"/>
      <c r="F156" s="79"/>
      <c r="G156" s="79"/>
      <c r="H156" s="124"/>
      <c r="I156" s="124"/>
      <c r="J156" s="124"/>
      <c r="K156" s="124"/>
      <c r="L156" s="124"/>
      <c r="M156" s="142"/>
      <c r="N156" s="142"/>
      <c r="O156" s="142"/>
      <c r="P156" s="142"/>
      <c r="Q156" s="142"/>
    </row>
    <row r="157" spans="1:17" s="58" customFormat="1" ht="18" customHeight="1" x14ac:dyDescent="0.45">
      <c r="A157" s="79"/>
      <c r="B157" s="79"/>
      <c r="C157" s="79"/>
      <c r="D157" s="79"/>
      <c r="E157" s="79"/>
      <c r="F157" s="79"/>
      <c r="G157" s="79"/>
      <c r="H157" s="124"/>
      <c r="I157" s="124"/>
      <c r="J157" s="124"/>
      <c r="K157" s="124"/>
      <c r="L157" s="124"/>
      <c r="M157" s="142"/>
      <c r="N157" s="142"/>
      <c r="O157" s="142"/>
      <c r="P157" s="142"/>
      <c r="Q157" s="142"/>
    </row>
    <row r="158" spans="1:17" s="58" customFormat="1" ht="18" customHeight="1" x14ac:dyDescent="0.45">
      <c r="A158" s="79"/>
      <c r="B158" s="79"/>
      <c r="C158" s="79"/>
      <c r="D158" s="79"/>
      <c r="E158" s="79"/>
      <c r="F158" s="79"/>
      <c r="G158" s="79"/>
      <c r="H158" s="124"/>
      <c r="I158" s="124"/>
      <c r="J158" s="124"/>
      <c r="K158" s="124"/>
      <c r="L158" s="124"/>
      <c r="M158" s="142"/>
      <c r="N158" s="142"/>
      <c r="O158" s="142"/>
      <c r="P158" s="142"/>
      <c r="Q158" s="142"/>
    </row>
    <row r="159" spans="1:17" s="58" customFormat="1" ht="18" customHeight="1" x14ac:dyDescent="0.45">
      <c r="A159" s="79"/>
      <c r="B159" s="79"/>
      <c r="C159" s="79"/>
      <c r="D159" s="79"/>
      <c r="E159" s="79"/>
      <c r="F159" s="79"/>
      <c r="G159" s="79"/>
      <c r="H159" s="124"/>
      <c r="I159" s="124"/>
      <c r="J159" s="124"/>
      <c r="K159" s="124"/>
      <c r="L159" s="124"/>
      <c r="M159" s="142"/>
      <c r="N159" s="142"/>
      <c r="O159" s="142"/>
      <c r="P159" s="142"/>
      <c r="Q159" s="142"/>
    </row>
    <row r="160" spans="1:17" s="58" customFormat="1" ht="18" customHeight="1" x14ac:dyDescent="0.45">
      <c r="A160" s="79"/>
      <c r="B160" s="79"/>
      <c r="C160" s="79"/>
      <c r="D160" s="79"/>
      <c r="E160" s="79"/>
      <c r="F160" s="79"/>
      <c r="G160" s="79"/>
      <c r="H160" s="124"/>
      <c r="I160" s="124"/>
      <c r="J160" s="124"/>
      <c r="K160" s="124"/>
      <c r="L160" s="124"/>
      <c r="M160" s="142"/>
      <c r="N160" s="142"/>
      <c r="O160" s="142"/>
      <c r="P160" s="142"/>
      <c r="Q160" s="142"/>
    </row>
    <row r="161" spans="1:17" s="58" customFormat="1" ht="18" customHeight="1" x14ac:dyDescent="0.45">
      <c r="A161" s="79"/>
      <c r="B161" s="79"/>
      <c r="C161" s="79"/>
      <c r="D161" s="79"/>
      <c r="E161" s="79"/>
      <c r="F161" s="79"/>
      <c r="G161" s="79"/>
      <c r="H161" s="124"/>
      <c r="I161" s="124"/>
      <c r="J161" s="124"/>
      <c r="K161" s="124"/>
      <c r="L161" s="124"/>
      <c r="M161" s="142"/>
      <c r="N161" s="142"/>
      <c r="O161" s="142"/>
      <c r="P161" s="142"/>
      <c r="Q161" s="142"/>
    </row>
    <row r="162" spans="1:17" s="58" customFormat="1" ht="18" customHeight="1" x14ac:dyDescent="0.45">
      <c r="A162" s="79"/>
      <c r="B162" s="79"/>
      <c r="C162" s="79"/>
      <c r="D162" s="79"/>
      <c r="E162" s="79"/>
      <c r="F162" s="79"/>
      <c r="G162" s="79"/>
      <c r="H162" s="124"/>
      <c r="I162" s="124"/>
      <c r="J162" s="124"/>
      <c r="K162" s="124"/>
      <c r="L162" s="124"/>
      <c r="M162" s="142"/>
      <c r="N162" s="142"/>
      <c r="O162" s="142"/>
      <c r="P162" s="142"/>
      <c r="Q162" s="142"/>
    </row>
    <row r="163" spans="1:17" s="58" customFormat="1" ht="18" customHeight="1" x14ac:dyDescent="0.45">
      <c r="A163" s="79"/>
      <c r="B163" s="79"/>
      <c r="C163" s="79"/>
      <c r="D163" s="79"/>
      <c r="E163" s="79"/>
      <c r="F163" s="79"/>
      <c r="G163" s="79"/>
      <c r="H163" s="124"/>
      <c r="I163" s="124"/>
      <c r="J163" s="124"/>
      <c r="K163" s="124"/>
      <c r="L163" s="124"/>
      <c r="M163" s="142"/>
      <c r="N163" s="142"/>
      <c r="O163" s="142"/>
      <c r="P163" s="142"/>
      <c r="Q163" s="142"/>
    </row>
    <row r="164" spans="1:17" s="58" customFormat="1" ht="18" customHeight="1" x14ac:dyDescent="0.45">
      <c r="A164" s="79"/>
      <c r="B164" s="79"/>
      <c r="C164" s="79"/>
      <c r="D164" s="79"/>
      <c r="E164" s="79"/>
      <c r="F164" s="79"/>
      <c r="G164" s="79"/>
      <c r="H164" s="124"/>
      <c r="I164" s="124"/>
      <c r="J164" s="124"/>
      <c r="K164" s="124"/>
      <c r="L164" s="124"/>
      <c r="M164" s="142"/>
      <c r="N164" s="142"/>
      <c r="O164" s="142"/>
      <c r="P164" s="142"/>
      <c r="Q164" s="142"/>
    </row>
    <row r="165" spans="1:17" s="58" customFormat="1" ht="18" customHeight="1" x14ac:dyDescent="0.45">
      <c r="A165" s="79"/>
      <c r="B165" s="79"/>
      <c r="C165" s="79"/>
      <c r="D165" s="79"/>
      <c r="E165" s="79"/>
      <c r="F165" s="79"/>
      <c r="G165" s="79"/>
      <c r="H165" s="124"/>
      <c r="I165" s="124"/>
      <c r="J165" s="124"/>
      <c r="K165" s="124"/>
      <c r="L165" s="124"/>
      <c r="M165" s="142"/>
      <c r="N165" s="142"/>
      <c r="O165" s="142"/>
      <c r="P165" s="142"/>
      <c r="Q165" s="142"/>
    </row>
    <row r="166" spans="1:17" s="58" customFormat="1" ht="18" customHeight="1" x14ac:dyDescent="0.45">
      <c r="A166" s="79"/>
      <c r="B166" s="79"/>
      <c r="C166" s="79"/>
      <c r="D166" s="79"/>
      <c r="E166" s="79"/>
      <c r="F166" s="79"/>
      <c r="G166" s="79"/>
      <c r="H166" s="124"/>
      <c r="I166" s="124"/>
      <c r="J166" s="124"/>
      <c r="K166" s="124"/>
      <c r="L166" s="124"/>
      <c r="M166" s="142"/>
      <c r="N166" s="142"/>
      <c r="O166" s="142"/>
      <c r="P166" s="142"/>
      <c r="Q166" s="142"/>
    </row>
    <row r="167" spans="1:17" s="58" customFormat="1" ht="18" customHeight="1" x14ac:dyDescent="0.45">
      <c r="A167" s="79"/>
      <c r="B167" s="79"/>
      <c r="C167" s="79"/>
      <c r="D167" s="79"/>
      <c r="E167" s="79"/>
      <c r="F167" s="79"/>
      <c r="G167" s="79"/>
      <c r="H167" s="124"/>
      <c r="I167" s="124"/>
      <c r="J167" s="124"/>
      <c r="K167" s="124"/>
      <c r="L167" s="124"/>
      <c r="M167" s="142"/>
      <c r="N167" s="142"/>
      <c r="O167" s="142"/>
      <c r="P167" s="142"/>
      <c r="Q167" s="142"/>
    </row>
    <row r="168" spans="1:17" s="58" customFormat="1" ht="18" customHeight="1" x14ac:dyDescent="0.45">
      <c r="A168" s="79"/>
      <c r="B168" s="79"/>
      <c r="C168" s="79"/>
      <c r="D168" s="79"/>
      <c r="E168" s="79"/>
      <c r="F168" s="79"/>
      <c r="G168" s="79"/>
      <c r="H168" s="124"/>
      <c r="I168" s="124"/>
      <c r="J168" s="124"/>
      <c r="K168" s="124"/>
      <c r="L168" s="124"/>
      <c r="M168" s="142"/>
      <c r="N168" s="142"/>
      <c r="O168" s="142"/>
      <c r="P168" s="142"/>
      <c r="Q168" s="142"/>
    </row>
    <row r="169" spans="1:17" s="58" customFormat="1" ht="18" customHeight="1" x14ac:dyDescent="0.45">
      <c r="A169" s="79"/>
      <c r="B169" s="79"/>
      <c r="C169" s="79"/>
      <c r="D169" s="79"/>
      <c r="E169" s="79"/>
      <c r="F169" s="79"/>
      <c r="G169" s="79"/>
      <c r="H169" s="124"/>
      <c r="I169" s="124"/>
      <c r="J169" s="124"/>
      <c r="K169" s="124"/>
      <c r="L169" s="124"/>
      <c r="M169" s="142"/>
      <c r="N169" s="142"/>
      <c r="O169" s="142"/>
      <c r="P169" s="142"/>
      <c r="Q169" s="142"/>
    </row>
    <row r="170" spans="1:17" s="58" customFormat="1" ht="18" customHeight="1" x14ac:dyDescent="0.45">
      <c r="A170" s="79"/>
      <c r="B170" s="79"/>
      <c r="C170" s="79"/>
      <c r="D170" s="79"/>
      <c r="E170" s="79"/>
      <c r="F170" s="79"/>
      <c r="G170" s="79"/>
      <c r="H170" s="124"/>
      <c r="I170" s="124"/>
      <c r="J170" s="124"/>
      <c r="K170" s="124"/>
      <c r="L170" s="124"/>
      <c r="M170" s="142"/>
      <c r="N170" s="142"/>
      <c r="O170" s="142"/>
      <c r="P170" s="142"/>
      <c r="Q170" s="142"/>
    </row>
    <row r="171" spans="1:17" s="58" customFormat="1" ht="18" customHeight="1" x14ac:dyDescent="0.45">
      <c r="A171" s="79"/>
      <c r="B171" s="79"/>
      <c r="C171" s="79"/>
      <c r="D171" s="79"/>
      <c r="E171" s="79"/>
      <c r="F171" s="79"/>
      <c r="G171" s="79"/>
      <c r="H171" s="124"/>
      <c r="I171" s="124"/>
      <c r="J171" s="124"/>
      <c r="K171" s="124"/>
      <c r="L171" s="124"/>
      <c r="M171" s="142"/>
      <c r="N171" s="142"/>
      <c r="O171" s="142"/>
      <c r="P171" s="142"/>
      <c r="Q171" s="142"/>
    </row>
    <row r="172" spans="1:17" s="58" customFormat="1" ht="18" customHeight="1" x14ac:dyDescent="0.45">
      <c r="A172" s="79"/>
      <c r="B172" s="79"/>
      <c r="C172" s="79"/>
      <c r="D172" s="79"/>
      <c r="E172" s="79"/>
      <c r="F172" s="79"/>
      <c r="G172" s="79"/>
      <c r="H172" s="124"/>
      <c r="I172" s="124"/>
      <c r="J172" s="124"/>
      <c r="K172" s="124"/>
      <c r="L172" s="124"/>
      <c r="M172" s="142"/>
      <c r="N172" s="142"/>
      <c r="O172" s="142"/>
      <c r="P172" s="142"/>
      <c r="Q172" s="142"/>
    </row>
    <row r="173" spans="1:17" s="58" customFormat="1" ht="18" customHeight="1" x14ac:dyDescent="0.45">
      <c r="A173" s="79"/>
      <c r="B173" s="79"/>
      <c r="C173" s="79"/>
      <c r="D173" s="79"/>
      <c r="E173" s="79"/>
      <c r="F173" s="79"/>
      <c r="G173" s="79"/>
      <c r="H173" s="124"/>
      <c r="I173" s="124"/>
      <c r="J173" s="124"/>
      <c r="K173" s="124"/>
      <c r="L173" s="124"/>
      <c r="M173" s="142"/>
      <c r="N173" s="142"/>
      <c r="O173" s="142"/>
      <c r="P173" s="142"/>
      <c r="Q173" s="142"/>
    </row>
    <row r="174" spans="1:17" s="58" customFormat="1" ht="18" customHeight="1" x14ac:dyDescent="0.45">
      <c r="A174" s="79"/>
      <c r="B174" s="79"/>
      <c r="C174" s="79"/>
      <c r="D174" s="79"/>
      <c r="E174" s="79"/>
      <c r="F174" s="79"/>
      <c r="G174" s="79"/>
      <c r="H174" s="124"/>
      <c r="I174" s="124"/>
      <c r="J174" s="124"/>
      <c r="K174" s="124"/>
      <c r="L174" s="124"/>
      <c r="M174" s="142"/>
      <c r="N174" s="142"/>
      <c r="O174" s="142"/>
      <c r="P174" s="142"/>
      <c r="Q174" s="142"/>
    </row>
    <row r="175" spans="1:17" s="58" customFormat="1" ht="18" customHeight="1" x14ac:dyDescent="0.45">
      <c r="A175" s="79"/>
      <c r="B175" s="79"/>
      <c r="C175" s="79"/>
      <c r="D175" s="79"/>
      <c r="E175" s="79"/>
      <c r="F175" s="79"/>
      <c r="G175" s="79"/>
      <c r="H175" s="124"/>
      <c r="I175" s="124"/>
      <c r="J175" s="124"/>
      <c r="K175" s="124"/>
      <c r="L175" s="124"/>
      <c r="M175" s="142"/>
      <c r="N175" s="142"/>
      <c r="O175" s="142"/>
      <c r="P175" s="142"/>
      <c r="Q175" s="142"/>
    </row>
    <row r="176" spans="1:17" s="58" customFormat="1" ht="18" customHeight="1" x14ac:dyDescent="0.45">
      <c r="A176" s="79"/>
      <c r="B176" s="79"/>
      <c r="C176" s="79"/>
      <c r="D176" s="79"/>
      <c r="E176" s="79"/>
      <c r="F176" s="79"/>
      <c r="G176" s="79"/>
      <c r="H176" s="124"/>
      <c r="I176" s="124"/>
      <c r="J176" s="124"/>
      <c r="K176" s="124"/>
      <c r="L176" s="124"/>
      <c r="M176" s="142"/>
      <c r="N176" s="142"/>
      <c r="O176" s="142"/>
      <c r="P176" s="142"/>
      <c r="Q176" s="142"/>
    </row>
    <row r="177" spans="1:17" s="58" customFormat="1" ht="18" customHeight="1" x14ac:dyDescent="0.45">
      <c r="A177" s="79"/>
      <c r="B177" s="79"/>
      <c r="C177" s="79"/>
      <c r="D177" s="79"/>
      <c r="E177" s="79"/>
      <c r="F177" s="79"/>
      <c r="G177" s="79"/>
      <c r="H177" s="124"/>
      <c r="I177" s="124"/>
      <c r="J177" s="124"/>
      <c r="K177" s="124"/>
      <c r="L177" s="124"/>
      <c r="M177" s="142"/>
      <c r="N177" s="142"/>
      <c r="O177" s="142"/>
      <c r="P177" s="142"/>
      <c r="Q177" s="142"/>
    </row>
    <row r="178" spans="1:17" s="58" customFormat="1" ht="18" customHeight="1" x14ac:dyDescent="0.45">
      <c r="A178" s="79"/>
      <c r="B178" s="79"/>
      <c r="C178" s="79"/>
      <c r="D178" s="79"/>
      <c r="E178" s="79"/>
      <c r="F178" s="79"/>
      <c r="G178" s="79"/>
      <c r="H178" s="124"/>
      <c r="I178" s="124"/>
      <c r="J178" s="124"/>
      <c r="K178" s="124"/>
      <c r="L178" s="124"/>
      <c r="M178" s="142"/>
      <c r="N178" s="142"/>
      <c r="O178" s="142"/>
      <c r="P178" s="142"/>
      <c r="Q178" s="142"/>
    </row>
    <row r="179" spans="1:17" s="58" customFormat="1" ht="18" customHeight="1" x14ac:dyDescent="0.45">
      <c r="A179" s="79"/>
      <c r="B179" s="79"/>
      <c r="C179" s="79"/>
      <c r="D179" s="79"/>
      <c r="E179" s="79"/>
      <c r="F179" s="79"/>
      <c r="G179" s="79"/>
      <c r="H179" s="124"/>
      <c r="I179" s="124"/>
      <c r="J179" s="124"/>
      <c r="K179" s="124"/>
      <c r="L179" s="124"/>
      <c r="M179" s="142"/>
      <c r="N179" s="142"/>
      <c r="O179" s="142"/>
      <c r="P179" s="142"/>
      <c r="Q179" s="142"/>
    </row>
    <row r="180" spans="1:17" s="58" customFormat="1" ht="18" customHeight="1" x14ac:dyDescent="0.45">
      <c r="A180" s="79"/>
      <c r="B180" s="79"/>
      <c r="C180" s="79"/>
      <c r="D180" s="79"/>
      <c r="E180" s="79"/>
      <c r="F180" s="79"/>
      <c r="G180" s="79"/>
      <c r="H180" s="124"/>
      <c r="I180" s="124"/>
      <c r="J180" s="124"/>
      <c r="K180" s="124"/>
      <c r="L180" s="124"/>
      <c r="M180" s="142"/>
      <c r="N180" s="142"/>
      <c r="O180" s="142"/>
      <c r="P180" s="142"/>
      <c r="Q180" s="142"/>
    </row>
    <row r="181" spans="1:17" s="58" customFormat="1" ht="18" customHeight="1" x14ac:dyDescent="0.45">
      <c r="A181" s="79"/>
      <c r="B181" s="79"/>
      <c r="C181" s="79"/>
      <c r="D181" s="79"/>
      <c r="E181" s="79"/>
      <c r="F181" s="79"/>
      <c r="G181" s="79"/>
      <c r="H181" s="124"/>
      <c r="I181" s="124"/>
      <c r="J181" s="124"/>
      <c r="K181" s="124"/>
      <c r="L181" s="124"/>
      <c r="M181" s="142"/>
      <c r="N181" s="142"/>
      <c r="O181" s="142"/>
      <c r="P181" s="142"/>
      <c r="Q181" s="142"/>
    </row>
    <row r="182" spans="1:17" s="58" customFormat="1" ht="18" customHeight="1" x14ac:dyDescent="0.45">
      <c r="A182" s="79"/>
      <c r="B182" s="79"/>
      <c r="C182" s="79"/>
      <c r="D182" s="79"/>
      <c r="E182" s="79"/>
      <c r="F182" s="79"/>
      <c r="G182" s="79"/>
      <c r="H182" s="124"/>
      <c r="I182" s="124"/>
      <c r="J182" s="124"/>
      <c r="K182" s="124"/>
      <c r="L182" s="124"/>
      <c r="M182" s="142"/>
      <c r="N182" s="142"/>
      <c r="O182" s="142"/>
      <c r="P182" s="142"/>
      <c r="Q182" s="142"/>
    </row>
    <row r="183" spans="1:17" s="58" customFormat="1" ht="18" customHeight="1" x14ac:dyDescent="0.45">
      <c r="A183" s="79"/>
      <c r="B183" s="79"/>
      <c r="C183" s="79"/>
      <c r="D183" s="79"/>
      <c r="E183" s="79"/>
      <c r="F183" s="79"/>
      <c r="G183" s="79"/>
      <c r="H183" s="124"/>
      <c r="I183" s="124"/>
      <c r="J183" s="124"/>
      <c r="K183" s="124"/>
      <c r="L183" s="124"/>
      <c r="M183" s="142"/>
      <c r="N183" s="142"/>
      <c r="O183" s="142"/>
      <c r="P183" s="142"/>
      <c r="Q183" s="142"/>
    </row>
    <row r="184" spans="1:17" s="58" customFormat="1" ht="18" customHeight="1" x14ac:dyDescent="0.45">
      <c r="A184" s="79"/>
      <c r="B184" s="79"/>
      <c r="C184" s="79"/>
      <c r="D184" s="79"/>
      <c r="E184" s="79"/>
      <c r="F184" s="79"/>
      <c r="G184" s="79"/>
      <c r="H184" s="124"/>
      <c r="I184" s="124"/>
      <c r="J184" s="124"/>
      <c r="K184" s="124"/>
      <c r="L184" s="124"/>
      <c r="M184" s="142"/>
      <c r="N184" s="142"/>
      <c r="O184" s="142"/>
      <c r="P184" s="142"/>
      <c r="Q184" s="142"/>
    </row>
    <row r="185" spans="1:17" s="58" customFormat="1" ht="18" customHeight="1" x14ac:dyDescent="0.45">
      <c r="A185" s="79"/>
      <c r="B185" s="79"/>
      <c r="C185" s="79"/>
      <c r="D185" s="79"/>
      <c r="E185" s="79"/>
      <c r="F185" s="79"/>
      <c r="G185" s="79"/>
      <c r="H185" s="124"/>
      <c r="I185" s="124"/>
      <c r="J185" s="124"/>
      <c r="K185" s="124"/>
      <c r="L185" s="124"/>
      <c r="M185" s="142"/>
      <c r="N185" s="142"/>
      <c r="O185" s="142"/>
      <c r="P185" s="142"/>
      <c r="Q185" s="142"/>
    </row>
    <row r="186" spans="1:17" s="58" customFormat="1" ht="18" customHeight="1" x14ac:dyDescent="0.45">
      <c r="A186" s="79"/>
      <c r="B186" s="79"/>
      <c r="C186" s="79"/>
      <c r="D186" s="79"/>
      <c r="E186" s="79"/>
      <c r="F186" s="79"/>
      <c r="G186" s="79"/>
      <c r="H186" s="124"/>
      <c r="I186" s="124"/>
      <c r="J186" s="124"/>
      <c r="K186" s="124"/>
      <c r="L186" s="124"/>
      <c r="M186" s="142"/>
      <c r="N186" s="142"/>
      <c r="O186" s="142"/>
      <c r="P186" s="142"/>
      <c r="Q186" s="142"/>
    </row>
    <row r="187" spans="1:17" s="58" customFormat="1" ht="18" customHeight="1" x14ac:dyDescent="0.45">
      <c r="A187" s="79"/>
      <c r="B187" s="79"/>
      <c r="C187" s="79"/>
      <c r="D187" s="79"/>
      <c r="E187" s="79"/>
      <c r="F187" s="79"/>
      <c r="G187" s="79"/>
      <c r="H187" s="124"/>
      <c r="I187" s="124"/>
      <c r="J187" s="124"/>
      <c r="K187" s="124"/>
      <c r="L187" s="124"/>
      <c r="M187" s="142"/>
      <c r="N187" s="142"/>
      <c r="O187" s="142"/>
      <c r="P187" s="142"/>
      <c r="Q187" s="142"/>
    </row>
    <row r="188" spans="1:17" s="58" customFormat="1" ht="18" customHeight="1" x14ac:dyDescent="0.45">
      <c r="A188" s="79"/>
      <c r="B188" s="79"/>
      <c r="C188" s="79"/>
      <c r="D188" s="79"/>
      <c r="E188" s="79"/>
      <c r="F188" s="79"/>
      <c r="G188" s="79"/>
      <c r="H188" s="124"/>
      <c r="I188" s="124"/>
      <c r="J188" s="124"/>
      <c r="K188" s="124"/>
      <c r="L188" s="124"/>
      <c r="M188" s="142"/>
      <c r="N188" s="142"/>
      <c r="O188" s="142"/>
      <c r="P188" s="142"/>
      <c r="Q188" s="142"/>
    </row>
    <row r="189" spans="1:17" s="58" customFormat="1" ht="18" customHeight="1" x14ac:dyDescent="0.45">
      <c r="A189" s="79"/>
      <c r="B189" s="79"/>
      <c r="C189" s="79"/>
      <c r="D189" s="79"/>
      <c r="E189" s="79"/>
      <c r="F189" s="79"/>
      <c r="G189" s="79"/>
      <c r="H189" s="124"/>
      <c r="I189" s="124"/>
      <c r="J189" s="124"/>
      <c r="K189" s="124"/>
      <c r="L189" s="124"/>
      <c r="M189" s="142"/>
      <c r="N189" s="142"/>
      <c r="O189" s="142"/>
      <c r="P189" s="142"/>
      <c r="Q189" s="142"/>
    </row>
    <row r="190" spans="1:17" s="58" customFormat="1" ht="18" customHeight="1" x14ac:dyDescent="0.45">
      <c r="A190" s="79"/>
      <c r="B190" s="79"/>
      <c r="C190" s="79"/>
      <c r="D190" s="79"/>
      <c r="E190" s="79"/>
      <c r="F190" s="79"/>
      <c r="G190" s="79"/>
      <c r="H190" s="124"/>
      <c r="I190" s="124"/>
      <c r="J190" s="124"/>
      <c r="K190" s="124"/>
      <c r="L190" s="124"/>
      <c r="M190" s="142"/>
      <c r="N190" s="142"/>
      <c r="O190" s="142"/>
      <c r="P190" s="142"/>
      <c r="Q190" s="142"/>
    </row>
    <row r="191" spans="1:17" s="58" customFormat="1" ht="18" customHeight="1" x14ac:dyDescent="0.45">
      <c r="A191" s="79"/>
      <c r="B191" s="79"/>
      <c r="C191" s="79"/>
      <c r="D191" s="79"/>
      <c r="E191" s="79"/>
      <c r="F191" s="79"/>
      <c r="G191" s="79"/>
      <c r="H191" s="124"/>
      <c r="I191" s="124"/>
      <c r="J191" s="124"/>
      <c r="K191" s="124"/>
      <c r="L191" s="124"/>
      <c r="M191" s="142"/>
      <c r="N191" s="142"/>
      <c r="O191" s="142"/>
      <c r="P191" s="142"/>
      <c r="Q191" s="142"/>
    </row>
    <row r="192" spans="1:17" s="58" customFormat="1" ht="18" customHeight="1" x14ac:dyDescent="0.45">
      <c r="A192" s="79"/>
      <c r="B192" s="79"/>
      <c r="C192" s="79"/>
      <c r="D192" s="79"/>
      <c r="E192" s="79"/>
      <c r="F192" s="79"/>
      <c r="G192" s="79"/>
      <c r="H192" s="124"/>
      <c r="I192" s="124"/>
      <c r="J192" s="124"/>
      <c r="K192" s="124"/>
      <c r="L192" s="124"/>
      <c r="M192" s="142"/>
      <c r="N192" s="142"/>
      <c r="O192" s="142"/>
      <c r="P192" s="142"/>
      <c r="Q192" s="142"/>
    </row>
    <row r="193" spans="1:17" s="58" customFormat="1" ht="18" customHeight="1" x14ac:dyDescent="0.45">
      <c r="A193" s="79"/>
      <c r="B193" s="79"/>
      <c r="C193" s="79"/>
      <c r="D193" s="79"/>
      <c r="E193" s="79"/>
      <c r="F193" s="79"/>
      <c r="G193" s="79"/>
      <c r="H193" s="124"/>
      <c r="I193" s="124"/>
      <c r="J193" s="124"/>
      <c r="K193" s="124"/>
      <c r="L193" s="124"/>
      <c r="M193" s="142"/>
      <c r="N193" s="142"/>
      <c r="O193" s="142"/>
      <c r="P193" s="142"/>
      <c r="Q193" s="142"/>
    </row>
    <row r="194" spans="1:17" s="58" customFormat="1" ht="18" customHeight="1" x14ac:dyDescent="0.45">
      <c r="A194" s="79"/>
      <c r="B194" s="79"/>
      <c r="C194" s="79"/>
      <c r="D194" s="79"/>
      <c r="E194" s="79"/>
      <c r="F194" s="79"/>
      <c r="G194" s="79"/>
      <c r="H194" s="124"/>
      <c r="I194" s="124"/>
      <c r="J194" s="124"/>
      <c r="K194" s="124"/>
      <c r="L194" s="124"/>
      <c r="M194" s="142"/>
      <c r="N194" s="142"/>
      <c r="O194" s="142"/>
      <c r="P194" s="142"/>
      <c r="Q194" s="142"/>
    </row>
    <row r="195" spans="1:17" s="58" customFormat="1" ht="18" customHeight="1" x14ac:dyDescent="0.45">
      <c r="A195" s="79"/>
      <c r="B195" s="79"/>
      <c r="C195" s="79"/>
      <c r="D195" s="79"/>
      <c r="E195" s="79"/>
      <c r="F195" s="79"/>
      <c r="G195" s="79"/>
      <c r="H195" s="124"/>
      <c r="I195" s="124"/>
      <c r="J195" s="124"/>
      <c r="K195" s="124"/>
      <c r="L195" s="124"/>
      <c r="M195" s="142"/>
      <c r="N195" s="142"/>
      <c r="O195" s="142"/>
      <c r="P195" s="142"/>
      <c r="Q195" s="142"/>
    </row>
    <row r="196" spans="1:17" s="58" customFormat="1" ht="18" customHeight="1" x14ac:dyDescent="0.45">
      <c r="A196" s="79"/>
      <c r="B196" s="79"/>
      <c r="C196" s="79"/>
      <c r="D196" s="79"/>
      <c r="E196" s="79"/>
      <c r="F196" s="79"/>
      <c r="G196" s="79"/>
      <c r="H196" s="124"/>
      <c r="I196" s="124"/>
      <c r="J196" s="124"/>
      <c r="K196" s="124"/>
      <c r="L196" s="124"/>
      <c r="M196" s="142"/>
      <c r="N196" s="142"/>
      <c r="O196" s="142"/>
      <c r="P196" s="142"/>
      <c r="Q196" s="142"/>
    </row>
    <row r="197" spans="1:17" s="58" customFormat="1" ht="18" customHeight="1" x14ac:dyDescent="0.45">
      <c r="A197" s="79"/>
      <c r="B197" s="79"/>
      <c r="C197" s="79"/>
      <c r="D197" s="79"/>
      <c r="E197" s="79"/>
      <c r="F197" s="79"/>
      <c r="G197" s="79"/>
      <c r="H197" s="124"/>
      <c r="I197" s="124"/>
      <c r="J197" s="124"/>
      <c r="K197" s="124"/>
      <c r="L197" s="124"/>
      <c r="M197" s="142"/>
      <c r="N197" s="142"/>
      <c r="O197" s="142"/>
      <c r="P197" s="142"/>
      <c r="Q197" s="142"/>
    </row>
    <row r="198" spans="1:17" s="58" customFormat="1" ht="18" customHeight="1" x14ac:dyDescent="0.45">
      <c r="A198" s="79"/>
      <c r="B198" s="79"/>
      <c r="C198" s="79"/>
      <c r="D198" s="79"/>
      <c r="E198" s="79"/>
      <c r="F198" s="79"/>
      <c r="G198" s="79"/>
      <c r="H198" s="124"/>
      <c r="I198" s="124"/>
      <c r="J198" s="124"/>
      <c r="K198" s="124"/>
      <c r="L198" s="124"/>
      <c r="M198" s="142"/>
      <c r="N198" s="142"/>
      <c r="O198" s="142"/>
      <c r="P198" s="142"/>
      <c r="Q198" s="142"/>
    </row>
    <row r="199" spans="1:17" s="58" customFormat="1" ht="18" customHeight="1" x14ac:dyDescent="0.45">
      <c r="A199" s="79"/>
      <c r="B199" s="79"/>
      <c r="C199" s="79"/>
      <c r="D199" s="79"/>
      <c r="E199" s="79"/>
      <c r="F199" s="79"/>
      <c r="G199" s="79"/>
      <c r="H199" s="124"/>
      <c r="I199" s="124"/>
      <c r="J199" s="124"/>
      <c r="K199" s="124"/>
      <c r="L199" s="124"/>
      <c r="M199" s="142"/>
      <c r="N199" s="142"/>
      <c r="O199" s="142"/>
      <c r="P199" s="142"/>
      <c r="Q199" s="142"/>
    </row>
    <row r="200" spans="1:17" s="58" customFormat="1" ht="18" customHeight="1" x14ac:dyDescent="0.45">
      <c r="A200" s="79"/>
      <c r="B200" s="79"/>
      <c r="C200" s="79"/>
      <c r="D200" s="79"/>
      <c r="E200" s="79"/>
      <c r="F200" s="79"/>
      <c r="G200" s="79"/>
      <c r="H200" s="124"/>
      <c r="I200" s="124"/>
      <c r="J200" s="124"/>
      <c r="K200" s="124"/>
      <c r="L200" s="124"/>
      <c r="M200" s="142"/>
      <c r="N200" s="142"/>
      <c r="O200" s="142"/>
      <c r="P200" s="142"/>
      <c r="Q200" s="142"/>
    </row>
    <row r="201" spans="1:17" s="58" customFormat="1" ht="18" customHeight="1" x14ac:dyDescent="0.45">
      <c r="A201" s="79"/>
      <c r="B201" s="79"/>
      <c r="C201" s="79"/>
      <c r="D201" s="79"/>
      <c r="E201" s="79"/>
      <c r="F201" s="79"/>
      <c r="G201" s="79"/>
      <c r="H201" s="124"/>
      <c r="I201" s="124"/>
      <c r="J201" s="124"/>
      <c r="K201" s="124"/>
      <c r="L201" s="124"/>
      <c r="M201" s="142"/>
      <c r="N201" s="142"/>
      <c r="O201" s="142"/>
      <c r="P201" s="142"/>
      <c r="Q201" s="142"/>
    </row>
    <row r="202" spans="1:17" s="58" customFormat="1" ht="18" customHeight="1" x14ac:dyDescent="0.45">
      <c r="A202" s="79"/>
      <c r="B202" s="79"/>
      <c r="C202" s="79"/>
      <c r="D202" s="79"/>
      <c r="E202" s="79"/>
      <c r="F202" s="79"/>
      <c r="G202" s="79"/>
      <c r="H202" s="124"/>
      <c r="I202" s="124"/>
      <c r="J202" s="124"/>
      <c r="K202" s="124"/>
      <c r="L202" s="124"/>
      <c r="M202" s="142"/>
      <c r="N202" s="142"/>
      <c r="O202" s="142"/>
      <c r="P202" s="142"/>
      <c r="Q202" s="142"/>
    </row>
    <row r="203" spans="1:17" s="58" customFormat="1" ht="18" customHeight="1" x14ac:dyDescent="0.45">
      <c r="A203" s="79"/>
      <c r="B203" s="79"/>
      <c r="C203" s="79"/>
      <c r="D203" s="79"/>
      <c r="E203" s="79"/>
      <c r="F203" s="79"/>
      <c r="G203" s="79"/>
      <c r="H203" s="124"/>
      <c r="I203" s="124"/>
      <c r="J203" s="124"/>
      <c r="K203" s="124"/>
      <c r="L203" s="124"/>
      <c r="M203" s="142"/>
      <c r="N203" s="142"/>
      <c r="O203" s="142"/>
      <c r="P203" s="142"/>
      <c r="Q203" s="142"/>
    </row>
    <row r="204" spans="1:17" s="58" customFormat="1" ht="18" customHeight="1" x14ac:dyDescent="0.45">
      <c r="A204" s="79"/>
      <c r="B204" s="79"/>
      <c r="C204" s="79"/>
      <c r="D204" s="79"/>
      <c r="E204" s="79"/>
      <c r="F204" s="79"/>
      <c r="G204" s="79"/>
      <c r="H204" s="124"/>
      <c r="I204" s="124"/>
      <c r="J204" s="124"/>
      <c r="K204" s="124"/>
      <c r="L204" s="124"/>
      <c r="M204" s="142"/>
      <c r="N204" s="142"/>
      <c r="O204" s="142"/>
      <c r="P204" s="142"/>
      <c r="Q204" s="142"/>
    </row>
    <row r="205" spans="1:17" s="58" customFormat="1" ht="18" customHeight="1" x14ac:dyDescent="0.45">
      <c r="A205" s="79"/>
      <c r="B205" s="79"/>
      <c r="C205" s="79"/>
      <c r="D205" s="79"/>
      <c r="E205" s="79"/>
      <c r="F205" s="79"/>
      <c r="G205" s="79"/>
      <c r="H205" s="124"/>
      <c r="I205" s="124"/>
      <c r="J205" s="124"/>
      <c r="K205" s="124"/>
      <c r="L205" s="124"/>
      <c r="M205" s="142"/>
      <c r="N205" s="142"/>
      <c r="O205" s="142"/>
      <c r="P205" s="142"/>
      <c r="Q205" s="142"/>
    </row>
    <row r="206" spans="1:17" s="58" customFormat="1" ht="18" customHeight="1" x14ac:dyDescent="0.45">
      <c r="A206" s="79"/>
      <c r="B206" s="79"/>
      <c r="C206" s="79"/>
      <c r="D206" s="79"/>
      <c r="E206" s="79"/>
      <c r="F206" s="79"/>
      <c r="G206" s="79"/>
      <c r="H206" s="124"/>
      <c r="I206" s="124"/>
      <c r="J206" s="124"/>
      <c r="K206" s="124"/>
      <c r="L206" s="124"/>
      <c r="M206" s="142"/>
      <c r="N206" s="142"/>
      <c r="O206" s="142"/>
      <c r="P206" s="142"/>
      <c r="Q206" s="142"/>
    </row>
    <row r="207" spans="1:17" s="58" customFormat="1" ht="18" customHeight="1" x14ac:dyDescent="0.45">
      <c r="A207" s="79"/>
      <c r="B207" s="79"/>
      <c r="C207" s="79"/>
      <c r="D207" s="79"/>
      <c r="E207" s="79"/>
      <c r="F207" s="79"/>
      <c r="G207" s="79"/>
      <c r="H207" s="124"/>
      <c r="I207" s="124"/>
      <c r="J207" s="124"/>
      <c r="K207" s="124"/>
      <c r="L207" s="124"/>
      <c r="M207" s="142"/>
      <c r="N207" s="142"/>
      <c r="O207" s="142"/>
      <c r="P207" s="142"/>
      <c r="Q207" s="142"/>
    </row>
    <row r="208" spans="1:17" s="58" customFormat="1" ht="18" customHeight="1" x14ac:dyDescent="0.45">
      <c r="A208" s="79"/>
      <c r="B208" s="79"/>
      <c r="C208" s="79"/>
      <c r="D208" s="79"/>
      <c r="E208" s="79"/>
      <c r="F208" s="79"/>
      <c r="G208" s="79"/>
      <c r="H208" s="124"/>
      <c r="I208" s="124"/>
      <c r="J208" s="124"/>
      <c r="K208" s="124"/>
      <c r="L208" s="124"/>
      <c r="M208" s="142"/>
      <c r="N208" s="142"/>
      <c r="O208" s="142"/>
      <c r="P208" s="142"/>
      <c r="Q208" s="142"/>
    </row>
    <row r="209" spans="1:17" s="58" customFormat="1" ht="18" customHeight="1" x14ac:dyDescent="0.45">
      <c r="A209" s="79"/>
      <c r="B209" s="79"/>
      <c r="C209" s="79"/>
      <c r="D209" s="79"/>
      <c r="E209" s="79"/>
      <c r="F209" s="79"/>
      <c r="G209" s="79"/>
      <c r="H209" s="124"/>
      <c r="I209" s="124"/>
      <c r="J209" s="124"/>
      <c r="K209" s="124"/>
      <c r="L209" s="124"/>
      <c r="M209" s="142"/>
      <c r="N209" s="142"/>
      <c r="O209" s="142"/>
      <c r="P209" s="142"/>
      <c r="Q209" s="142"/>
    </row>
    <row r="210" spans="1:17" s="58" customFormat="1" ht="18" customHeight="1" x14ac:dyDescent="0.45">
      <c r="A210" s="142"/>
      <c r="B210" s="142"/>
      <c r="C210" s="142"/>
      <c r="D210" s="142"/>
      <c r="E210" s="142"/>
      <c r="F210" s="142"/>
      <c r="G210" s="142"/>
      <c r="H210" s="124"/>
      <c r="I210" s="124"/>
      <c r="J210" s="124"/>
      <c r="K210" s="124"/>
      <c r="L210" s="124"/>
      <c r="M210" s="142"/>
      <c r="N210" s="142"/>
      <c r="O210" s="142"/>
      <c r="P210" s="142"/>
      <c r="Q210" s="142"/>
    </row>
    <row r="211" spans="1:17" s="58" customFormat="1" ht="18" customHeight="1" x14ac:dyDescent="0.45">
      <c r="A211" s="142"/>
      <c r="B211" s="142"/>
      <c r="C211" s="142"/>
      <c r="D211" s="142"/>
      <c r="E211" s="142"/>
      <c r="F211" s="142"/>
      <c r="G211" s="142"/>
      <c r="H211" s="124"/>
      <c r="I211" s="124"/>
      <c r="J211" s="124"/>
      <c r="K211" s="124"/>
      <c r="L211" s="124"/>
      <c r="M211" s="142"/>
      <c r="N211" s="142"/>
      <c r="O211" s="142"/>
      <c r="P211" s="142"/>
      <c r="Q211" s="142"/>
    </row>
    <row r="212" spans="1:17" s="58" customFormat="1" ht="18" customHeight="1" x14ac:dyDescent="0.45">
      <c r="A212" s="142"/>
      <c r="B212" s="142"/>
      <c r="C212" s="142"/>
      <c r="D212" s="142"/>
      <c r="E212" s="142"/>
      <c r="F212" s="142"/>
      <c r="G212" s="142"/>
      <c r="H212" s="124"/>
      <c r="I212" s="124"/>
      <c r="J212" s="124"/>
      <c r="K212" s="124"/>
      <c r="L212" s="124"/>
      <c r="M212" s="142"/>
      <c r="N212" s="142"/>
      <c r="O212" s="142"/>
      <c r="P212" s="142"/>
      <c r="Q212" s="142"/>
    </row>
    <row r="213" spans="1:17" s="58" customFormat="1" ht="18" customHeight="1" x14ac:dyDescent="0.45">
      <c r="A213" s="142"/>
      <c r="B213" s="142"/>
      <c r="C213" s="142"/>
      <c r="D213" s="142"/>
      <c r="E213" s="142"/>
      <c r="F213" s="142"/>
      <c r="G213" s="142"/>
      <c r="H213" s="124"/>
      <c r="I213" s="124"/>
      <c r="J213" s="124"/>
      <c r="K213" s="124"/>
      <c r="L213" s="124"/>
      <c r="M213" s="142"/>
      <c r="N213" s="142"/>
      <c r="O213" s="142"/>
      <c r="P213" s="142"/>
      <c r="Q213" s="142"/>
    </row>
    <row r="214" spans="1:17" s="58" customFormat="1" ht="18" customHeight="1" x14ac:dyDescent="0.45">
      <c r="A214" s="142"/>
      <c r="B214" s="142"/>
      <c r="C214" s="142"/>
      <c r="D214" s="142"/>
      <c r="E214" s="142"/>
      <c r="F214" s="142"/>
      <c r="G214" s="142"/>
      <c r="H214" s="124"/>
      <c r="I214" s="124"/>
      <c r="J214" s="124"/>
      <c r="K214" s="124"/>
      <c r="L214" s="124"/>
      <c r="M214" s="142"/>
      <c r="N214" s="142"/>
      <c r="O214" s="142"/>
      <c r="P214" s="142"/>
      <c r="Q214" s="142"/>
    </row>
    <row r="215" spans="1:17" s="58" customFormat="1" ht="18" customHeight="1" x14ac:dyDescent="0.45">
      <c r="A215" s="142"/>
      <c r="B215" s="142"/>
      <c r="C215" s="142"/>
      <c r="D215" s="142"/>
      <c r="E215" s="142"/>
      <c r="F215" s="142"/>
      <c r="G215" s="142"/>
      <c r="H215" s="124"/>
      <c r="I215" s="124"/>
      <c r="J215" s="124"/>
      <c r="K215" s="124"/>
      <c r="L215" s="124"/>
      <c r="M215" s="142"/>
      <c r="N215" s="142"/>
      <c r="O215" s="142"/>
      <c r="P215" s="142"/>
      <c r="Q215" s="142"/>
    </row>
    <row r="216" spans="1:17" s="58" customFormat="1" ht="18" customHeight="1" x14ac:dyDescent="0.45">
      <c r="A216" s="142"/>
      <c r="B216" s="142"/>
      <c r="C216" s="142"/>
      <c r="D216" s="142"/>
      <c r="E216" s="142"/>
      <c r="F216" s="142"/>
      <c r="G216" s="142"/>
      <c r="H216" s="124"/>
      <c r="I216" s="124"/>
      <c r="J216" s="124"/>
      <c r="K216" s="124"/>
      <c r="L216" s="124"/>
      <c r="M216" s="142"/>
      <c r="N216" s="142"/>
      <c r="O216" s="142"/>
      <c r="P216" s="142"/>
      <c r="Q216" s="142"/>
    </row>
    <row r="217" spans="1:17" s="58" customFormat="1" ht="18" customHeight="1" x14ac:dyDescent="0.45">
      <c r="H217" s="50"/>
      <c r="I217" s="50"/>
      <c r="J217" s="50"/>
      <c r="K217" s="50"/>
      <c r="L217" s="50"/>
    </row>
    <row r="218" spans="1:17" s="58" customFormat="1" ht="18" customHeight="1" x14ac:dyDescent="0.45">
      <c r="H218" s="50"/>
      <c r="I218" s="50"/>
      <c r="J218" s="50"/>
      <c r="K218" s="50"/>
      <c r="L218" s="50"/>
    </row>
    <row r="219" spans="1:17" s="58" customFormat="1" ht="18" customHeight="1" x14ac:dyDescent="0.45"/>
    <row r="220" spans="1:17" s="58" customFormat="1" ht="18" customHeight="1" x14ac:dyDescent="0.45"/>
    <row r="221" spans="1:17" s="58" customFormat="1" ht="18" customHeight="1" x14ac:dyDescent="0.45"/>
    <row r="222" spans="1:17" s="58" customFormat="1" ht="18" customHeight="1" x14ac:dyDescent="0.45"/>
    <row r="223" spans="1:17" s="58" customFormat="1" ht="18" customHeight="1" x14ac:dyDescent="0.45"/>
    <row r="224" spans="1:17" s="58" customFormat="1" ht="18" customHeight="1" x14ac:dyDescent="0.45"/>
  </sheetData>
  <mergeCells count="1">
    <mergeCell ref="F33:L3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5"/>
  <sheetViews>
    <sheetView showGridLines="0" zoomScaleNormal="100" workbookViewId="0">
      <selection activeCell="H6" sqref="H6"/>
    </sheetView>
  </sheetViews>
  <sheetFormatPr defaultColWidth="8.6328125" defaultRowHeight="14.5" x14ac:dyDescent="0.35"/>
  <cols>
    <col min="1" max="1" width="6.90625" customWidth="1"/>
    <col min="2" max="2" width="8.90625" customWidth="1"/>
    <col min="3" max="3" width="7.7265625" customWidth="1"/>
  </cols>
  <sheetData>
    <row r="1" spans="1:9" ht="19.5" customHeight="1" x14ac:dyDescent="0.35">
      <c r="A1" s="223" t="s">
        <v>387</v>
      </c>
      <c r="B1" s="223"/>
      <c r="C1" s="223"/>
      <c r="D1" s="223"/>
      <c r="E1" s="223"/>
      <c r="F1" s="223"/>
      <c r="G1" s="223"/>
      <c r="H1" s="223"/>
      <c r="I1" s="223"/>
    </row>
    <row r="2" spans="1:9" ht="14.25" customHeight="1" x14ac:dyDescent="0.35">
      <c r="A2" s="224" t="s">
        <v>429</v>
      </c>
      <c r="B2" s="224"/>
      <c r="C2" s="224"/>
      <c r="D2" s="224"/>
      <c r="E2" s="224"/>
      <c r="F2" s="224"/>
      <c r="G2" s="224"/>
      <c r="H2" s="224"/>
      <c r="I2" s="224"/>
    </row>
    <row r="4" spans="1:9" ht="51.75" customHeight="1" x14ac:dyDescent="0.35">
      <c r="A4" s="193" t="s">
        <v>430</v>
      </c>
      <c r="B4" s="193" t="s">
        <v>431</v>
      </c>
      <c r="C4" s="193" t="s">
        <v>432</v>
      </c>
      <c r="D4" s="193" t="s">
        <v>433</v>
      </c>
      <c r="E4" s="193" t="s">
        <v>432</v>
      </c>
    </row>
    <row r="5" spans="1:9" ht="14.25" customHeight="1" x14ac:dyDescent="0.35">
      <c r="A5" s="194" t="s">
        <v>434</v>
      </c>
      <c r="B5" s="195">
        <v>14631.1</v>
      </c>
      <c r="C5" s="194"/>
      <c r="D5" s="195">
        <v>1123</v>
      </c>
      <c r="E5" s="194"/>
    </row>
    <row r="6" spans="1:9" ht="14.25" customHeight="1" x14ac:dyDescent="0.35">
      <c r="A6" s="194" t="s">
        <v>435</v>
      </c>
      <c r="B6" s="195">
        <v>15582.8</v>
      </c>
      <c r="C6" s="196">
        <f t="shared" ref="C6:C37" si="0">B6/B5-1</f>
        <v>6.5046373820150105E-2</v>
      </c>
      <c r="D6" s="195">
        <v>1187</v>
      </c>
      <c r="E6" s="196">
        <f t="shared" ref="E6:E37" si="1">D6/D5-1</f>
        <v>5.6990204808548439E-2</v>
      </c>
      <c r="G6" s="197" t="s">
        <v>436</v>
      </c>
      <c r="H6" s="198">
        <f>MAX(D53:D65)</f>
        <v>4445</v>
      </c>
    </row>
    <row r="7" spans="1:9" ht="14.25" customHeight="1" x14ac:dyDescent="0.35">
      <c r="A7" s="194" t="s">
        <v>437</v>
      </c>
      <c r="B7" s="195">
        <v>15721.5</v>
      </c>
      <c r="C7" s="196">
        <f t="shared" si="0"/>
        <v>8.9008393870164682E-3</v>
      </c>
      <c r="D7" s="195">
        <v>1298</v>
      </c>
      <c r="E7" s="196">
        <f t="shared" si="1"/>
        <v>9.3513058129738758E-2</v>
      </c>
      <c r="G7" s="197" t="s">
        <v>438</v>
      </c>
      <c r="H7" s="198">
        <f>MIN(D53:D65)</f>
        <v>3867</v>
      </c>
    </row>
    <row r="8" spans="1:9" ht="14.25" customHeight="1" x14ac:dyDescent="0.35">
      <c r="A8" s="194" t="s">
        <v>439</v>
      </c>
      <c r="B8" s="195">
        <v>16118.2</v>
      </c>
      <c r="C8" s="196">
        <f t="shared" si="0"/>
        <v>2.5232961231434814E-2</v>
      </c>
      <c r="D8" s="195">
        <v>1455</v>
      </c>
      <c r="E8" s="196">
        <f t="shared" si="1"/>
        <v>0.12095531587057007</v>
      </c>
    </row>
    <row r="9" spans="1:9" ht="14.25" customHeight="1" x14ac:dyDescent="0.35">
      <c r="A9" s="194" t="s">
        <v>440</v>
      </c>
      <c r="B9" s="195">
        <v>17132.2</v>
      </c>
      <c r="C9" s="196">
        <f t="shared" si="0"/>
        <v>6.2910250524252032E-2</v>
      </c>
      <c r="D9" s="195">
        <v>1568</v>
      </c>
      <c r="E9" s="196">
        <f t="shared" si="1"/>
        <v>7.7663230240549774E-2</v>
      </c>
    </row>
    <row r="10" spans="1:9" ht="15" customHeight="1" x14ac:dyDescent="0.35">
      <c r="A10" s="194" t="s">
        <v>441</v>
      </c>
      <c r="B10" s="195">
        <v>17618.150000000001</v>
      </c>
      <c r="C10" s="196">
        <f t="shared" si="0"/>
        <v>2.8364716732235173E-2</v>
      </c>
      <c r="D10" s="195">
        <v>1735</v>
      </c>
      <c r="E10" s="196">
        <f t="shared" si="1"/>
        <v>0.10650510204081631</v>
      </c>
      <c r="G10" s="199" t="s">
        <v>442</v>
      </c>
      <c r="H10" s="200">
        <f>SLOPE(E6:E65,C6:C65)</f>
        <v>1.4909927246613075</v>
      </c>
    </row>
    <row r="11" spans="1:9" ht="14.25" customHeight="1" x14ac:dyDescent="0.35">
      <c r="A11" s="194" t="s">
        <v>443</v>
      </c>
      <c r="B11" s="195">
        <v>18477.05</v>
      </c>
      <c r="C11" s="196">
        <f t="shared" si="0"/>
        <v>4.8750862037160392E-2</v>
      </c>
      <c r="D11" s="195">
        <v>1890</v>
      </c>
      <c r="E11" s="196">
        <f t="shared" si="1"/>
        <v>8.9337175792507217E-2</v>
      </c>
    </row>
    <row r="12" spans="1:9" ht="14.25" customHeight="1" x14ac:dyDescent="0.35">
      <c r="A12" s="194" t="s">
        <v>444</v>
      </c>
      <c r="B12" s="195">
        <v>17026.45</v>
      </c>
      <c r="C12" s="196">
        <f t="shared" si="0"/>
        <v>-7.8508203419918154E-2</v>
      </c>
      <c r="D12" s="195">
        <v>1812</v>
      </c>
      <c r="E12" s="196">
        <f t="shared" si="1"/>
        <v>-4.1269841269841234E-2</v>
      </c>
    </row>
    <row r="13" spans="1:9" ht="14.25" customHeight="1" x14ac:dyDescent="0.35">
      <c r="A13" s="194" t="s">
        <v>445</v>
      </c>
      <c r="B13" s="195">
        <v>17354.05</v>
      </c>
      <c r="C13" s="196">
        <f t="shared" si="0"/>
        <v>1.9240652044319129E-2</v>
      </c>
      <c r="D13" s="195">
        <v>1956</v>
      </c>
      <c r="E13" s="196">
        <f t="shared" si="1"/>
        <v>7.9470198675496651E-2</v>
      </c>
    </row>
    <row r="14" spans="1:9" ht="14.25" customHeight="1" x14ac:dyDescent="0.35">
      <c r="A14" s="194" t="s">
        <v>446</v>
      </c>
      <c r="B14" s="195">
        <v>17339.849999999999</v>
      </c>
      <c r="C14" s="196">
        <f t="shared" si="0"/>
        <v>-8.1825279977876253E-4</v>
      </c>
      <c r="D14" s="195">
        <v>2043</v>
      </c>
      <c r="E14" s="196">
        <f t="shared" si="1"/>
        <v>4.4478527607362039E-2</v>
      </c>
    </row>
    <row r="15" spans="1:9" ht="14.25" customHeight="1" x14ac:dyDescent="0.35">
      <c r="A15" s="194" t="s">
        <v>447</v>
      </c>
      <c r="B15" s="195">
        <v>16793.900000000001</v>
      </c>
      <c r="C15" s="196">
        <f t="shared" si="0"/>
        <v>-3.1485278131010208E-2</v>
      </c>
      <c r="D15" s="195">
        <v>1987</v>
      </c>
      <c r="E15" s="196">
        <f t="shared" si="1"/>
        <v>-2.7410670582476704E-2</v>
      </c>
    </row>
    <row r="16" spans="1:9" ht="14.25" customHeight="1" x14ac:dyDescent="0.35">
      <c r="A16" s="194" t="s">
        <v>448</v>
      </c>
      <c r="B16" s="195">
        <v>17464.75</v>
      </c>
      <c r="C16" s="196">
        <f t="shared" si="0"/>
        <v>3.9946051840251462E-2</v>
      </c>
      <c r="D16" s="195">
        <v>2089</v>
      </c>
      <c r="E16" s="196">
        <f t="shared" si="1"/>
        <v>5.1333668847508784E-2</v>
      </c>
    </row>
    <row r="17" spans="1:5" ht="14.25" customHeight="1" x14ac:dyDescent="0.35">
      <c r="A17" s="194" t="s">
        <v>449</v>
      </c>
      <c r="B17" s="195">
        <v>17102.55</v>
      </c>
      <c r="C17" s="196">
        <f t="shared" si="0"/>
        <v>-2.0738916961307807E-2</v>
      </c>
      <c r="D17" s="195">
        <v>1980</v>
      </c>
      <c r="E17" s="196">
        <f t="shared" si="1"/>
        <v>-5.217807563427479E-2</v>
      </c>
    </row>
    <row r="18" spans="1:5" ht="14.25" customHeight="1" x14ac:dyDescent="0.35">
      <c r="A18" s="194" t="s">
        <v>450</v>
      </c>
      <c r="B18" s="195">
        <v>16584.3</v>
      </c>
      <c r="C18" s="196">
        <f t="shared" si="0"/>
        <v>-3.0302498750186424E-2</v>
      </c>
      <c r="D18" s="195">
        <v>1845</v>
      </c>
      <c r="E18" s="196">
        <f t="shared" si="1"/>
        <v>-6.8181818181818232E-2</v>
      </c>
    </row>
    <row r="19" spans="1:5" ht="14.25" customHeight="1" x14ac:dyDescent="0.35">
      <c r="A19" s="194" t="s">
        <v>451</v>
      </c>
      <c r="B19" s="195">
        <v>15780.25</v>
      </c>
      <c r="C19" s="196">
        <f t="shared" si="0"/>
        <v>-4.8482601014212201E-2</v>
      </c>
      <c r="D19" s="195">
        <v>1678</v>
      </c>
      <c r="E19" s="196">
        <f t="shared" si="1"/>
        <v>-9.0514905149051472E-2</v>
      </c>
    </row>
    <row r="20" spans="1:5" ht="14.25" customHeight="1" x14ac:dyDescent="0.35">
      <c r="A20" s="194" t="s">
        <v>452</v>
      </c>
      <c r="B20" s="195">
        <v>17158.25</v>
      </c>
      <c r="C20" s="196">
        <f t="shared" si="0"/>
        <v>8.7324345305048956E-2</v>
      </c>
      <c r="D20" s="195">
        <v>1923</v>
      </c>
      <c r="E20" s="196">
        <f t="shared" si="1"/>
        <v>0.14600715137067932</v>
      </c>
    </row>
    <row r="21" spans="1:5" ht="14.25" customHeight="1" x14ac:dyDescent="0.35">
      <c r="A21" s="194" t="s">
        <v>453</v>
      </c>
      <c r="B21" s="195">
        <v>17759.3</v>
      </c>
      <c r="C21" s="196">
        <f t="shared" si="0"/>
        <v>3.5029796162195925E-2</v>
      </c>
      <c r="D21" s="195">
        <v>2105</v>
      </c>
      <c r="E21" s="196">
        <f t="shared" si="1"/>
        <v>9.4643785751429954E-2</v>
      </c>
    </row>
    <row r="22" spans="1:5" ht="14.25" customHeight="1" x14ac:dyDescent="0.35">
      <c r="A22" s="194" t="s">
        <v>454</v>
      </c>
      <c r="B22" s="195">
        <v>17094.349999999999</v>
      </c>
      <c r="C22" s="196">
        <f t="shared" si="0"/>
        <v>-3.7442354146841383E-2</v>
      </c>
      <c r="D22" s="195">
        <v>2012</v>
      </c>
      <c r="E22" s="196">
        <f t="shared" si="1"/>
        <v>-4.4180522565320679E-2</v>
      </c>
    </row>
    <row r="23" spans="1:5" ht="14.25" customHeight="1" x14ac:dyDescent="0.35">
      <c r="A23" s="194" t="s">
        <v>455</v>
      </c>
      <c r="B23" s="195">
        <v>18012.2</v>
      </c>
      <c r="C23" s="196">
        <f t="shared" si="0"/>
        <v>5.3693179325332796E-2</v>
      </c>
      <c r="D23" s="195">
        <v>2234</v>
      </c>
      <c r="E23" s="196">
        <f t="shared" si="1"/>
        <v>0.11033797216699792</v>
      </c>
    </row>
    <row r="24" spans="1:5" ht="14.25" customHeight="1" x14ac:dyDescent="0.35">
      <c r="A24" s="194" t="s">
        <v>456</v>
      </c>
      <c r="B24" s="195">
        <v>18758.349999999999</v>
      </c>
      <c r="C24" s="196">
        <f t="shared" si="0"/>
        <v>4.1424701035964295E-2</v>
      </c>
      <c r="D24" s="195">
        <v>2389</v>
      </c>
      <c r="E24" s="196">
        <f t="shared" si="1"/>
        <v>6.9382273948075168E-2</v>
      </c>
    </row>
    <row r="25" spans="1:5" ht="14.25" customHeight="1" x14ac:dyDescent="0.35">
      <c r="A25" s="194" t="s">
        <v>457</v>
      </c>
      <c r="B25" s="195">
        <v>18105.3</v>
      </c>
      <c r="C25" s="196">
        <f t="shared" si="0"/>
        <v>-3.4813829574562805E-2</v>
      </c>
      <c r="D25" s="195">
        <v>2287</v>
      </c>
      <c r="E25" s="196">
        <f t="shared" si="1"/>
        <v>-4.2695688572624513E-2</v>
      </c>
    </row>
    <row r="26" spans="1:5" ht="14.25" customHeight="1" x14ac:dyDescent="0.35">
      <c r="A26" s="194" t="s">
        <v>458</v>
      </c>
      <c r="B26" s="195">
        <v>17616.3</v>
      </c>
      <c r="C26" s="196">
        <f t="shared" si="0"/>
        <v>-2.7008665970737811E-2</v>
      </c>
      <c r="D26" s="195">
        <v>2156</v>
      </c>
      <c r="E26" s="196">
        <f t="shared" si="1"/>
        <v>-5.7280279842588544E-2</v>
      </c>
    </row>
    <row r="27" spans="1:5" ht="14.25" customHeight="1" x14ac:dyDescent="0.35">
      <c r="A27" s="194" t="s">
        <v>459</v>
      </c>
      <c r="B27" s="195">
        <v>17303.95</v>
      </c>
      <c r="C27" s="196">
        <f t="shared" si="0"/>
        <v>-1.7730738009684166E-2</v>
      </c>
      <c r="D27" s="195">
        <v>2089</v>
      </c>
      <c r="E27" s="196">
        <f t="shared" si="1"/>
        <v>-3.1076066790352463E-2</v>
      </c>
    </row>
    <row r="28" spans="1:5" ht="14.25" customHeight="1" x14ac:dyDescent="0.35">
      <c r="A28" s="194" t="s">
        <v>460</v>
      </c>
      <c r="B28" s="195">
        <v>17359.75</v>
      </c>
      <c r="C28" s="196">
        <f t="shared" si="0"/>
        <v>3.2246972512055549E-3</v>
      </c>
      <c r="D28" s="195">
        <v>2178</v>
      </c>
      <c r="E28" s="196">
        <f t="shared" si="1"/>
        <v>4.2604116802297698E-2</v>
      </c>
    </row>
    <row r="29" spans="1:5" ht="14.25" customHeight="1" x14ac:dyDescent="0.35">
      <c r="A29" s="194" t="s">
        <v>461</v>
      </c>
      <c r="B29" s="195">
        <v>18065</v>
      </c>
      <c r="C29" s="196">
        <f t="shared" si="0"/>
        <v>4.0625585045867663E-2</v>
      </c>
      <c r="D29" s="195">
        <v>2345</v>
      </c>
      <c r="E29" s="196">
        <f t="shared" si="1"/>
        <v>7.6675849403122109E-2</v>
      </c>
    </row>
    <row r="30" spans="1:5" ht="14.25" customHeight="1" x14ac:dyDescent="0.35">
      <c r="A30" s="194" t="s">
        <v>462</v>
      </c>
      <c r="B30" s="195">
        <v>18534.099999999999</v>
      </c>
      <c r="C30" s="196">
        <f t="shared" si="0"/>
        <v>2.5967340160531371E-2</v>
      </c>
      <c r="D30" s="195">
        <v>2523</v>
      </c>
      <c r="E30" s="196">
        <f t="shared" si="1"/>
        <v>7.5906183368869895E-2</v>
      </c>
    </row>
    <row r="31" spans="1:5" ht="14.25" customHeight="1" x14ac:dyDescent="0.35">
      <c r="A31" s="194" t="s">
        <v>463</v>
      </c>
      <c r="B31" s="195">
        <v>18940.400000000001</v>
      </c>
      <c r="C31" s="196">
        <f t="shared" si="0"/>
        <v>2.1921755035313462E-2</v>
      </c>
      <c r="D31" s="195">
        <v>2712</v>
      </c>
      <c r="E31" s="196">
        <f t="shared" si="1"/>
        <v>7.4910820451842941E-2</v>
      </c>
    </row>
    <row r="32" spans="1:5" ht="14.25" customHeight="1" x14ac:dyDescent="0.35">
      <c r="A32" s="194" t="s">
        <v>464</v>
      </c>
      <c r="B32" s="195">
        <v>19753.8</v>
      </c>
      <c r="C32" s="196">
        <f t="shared" si="0"/>
        <v>4.2945238748917536E-2</v>
      </c>
      <c r="D32" s="195">
        <v>3056</v>
      </c>
      <c r="E32" s="196">
        <f t="shared" si="1"/>
        <v>0.12684365781710905</v>
      </c>
    </row>
    <row r="33" spans="1:5" ht="14.25" customHeight="1" x14ac:dyDescent="0.35">
      <c r="A33" s="194" t="s">
        <v>465</v>
      </c>
      <c r="B33" s="195">
        <v>19423.55</v>
      </c>
      <c r="C33" s="196">
        <f t="shared" si="0"/>
        <v>-1.6718302301329313E-2</v>
      </c>
      <c r="D33" s="195">
        <v>2934</v>
      </c>
      <c r="E33" s="196">
        <f t="shared" si="1"/>
        <v>-3.9921465968586367E-2</v>
      </c>
    </row>
    <row r="34" spans="1:5" ht="14.25" customHeight="1" x14ac:dyDescent="0.35">
      <c r="A34" s="194" t="s">
        <v>466</v>
      </c>
      <c r="B34" s="195">
        <v>19638.3</v>
      </c>
      <c r="C34" s="196">
        <f t="shared" si="0"/>
        <v>1.1056166354760144E-2</v>
      </c>
      <c r="D34" s="195">
        <v>3123</v>
      </c>
      <c r="E34" s="196">
        <f t="shared" si="1"/>
        <v>6.4417177914110502E-2</v>
      </c>
    </row>
    <row r="35" spans="1:5" ht="14.25" customHeight="1" x14ac:dyDescent="0.35">
      <c r="A35" s="194" t="s">
        <v>467</v>
      </c>
      <c r="B35" s="195">
        <v>18857.25</v>
      </c>
      <c r="C35" s="196">
        <f t="shared" si="0"/>
        <v>-3.97717725057668E-2</v>
      </c>
      <c r="D35" s="195">
        <v>2876</v>
      </c>
      <c r="E35" s="196">
        <f t="shared" si="1"/>
        <v>-7.9090617995517087E-2</v>
      </c>
    </row>
    <row r="36" spans="1:5" ht="14.25" customHeight="1" x14ac:dyDescent="0.35">
      <c r="A36" s="194" t="s">
        <v>468</v>
      </c>
      <c r="B36" s="195">
        <v>20133.150000000001</v>
      </c>
      <c r="C36" s="196">
        <f t="shared" si="0"/>
        <v>6.7660979198981952E-2</v>
      </c>
      <c r="D36" s="195">
        <v>3245</v>
      </c>
      <c r="E36" s="196">
        <f t="shared" si="1"/>
        <v>0.12830319888734354</v>
      </c>
    </row>
    <row r="37" spans="1:5" ht="14.25" customHeight="1" x14ac:dyDescent="0.35">
      <c r="A37" s="194" t="s">
        <v>469</v>
      </c>
      <c r="B37" s="195">
        <v>21731.4</v>
      </c>
      <c r="C37" s="196">
        <f t="shared" si="0"/>
        <v>7.9384001013254268E-2</v>
      </c>
      <c r="D37" s="195">
        <v>3567</v>
      </c>
      <c r="E37" s="196">
        <f t="shared" si="1"/>
        <v>9.9229583975346758E-2</v>
      </c>
    </row>
    <row r="38" spans="1:5" ht="14.25" customHeight="1" x14ac:dyDescent="0.35">
      <c r="A38" s="194" t="s">
        <v>470</v>
      </c>
      <c r="B38" s="195">
        <v>21725.7</v>
      </c>
      <c r="C38" s="196">
        <f t="shared" ref="C38:C69" si="2">B38/B37-1</f>
        <v>-2.6229327148741266E-4</v>
      </c>
      <c r="D38" s="195">
        <v>3689</v>
      </c>
      <c r="E38" s="196">
        <f t="shared" ref="E38:E69" si="3">D38/D37-1</f>
        <v>3.4202410989627063E-2</v>
      </c>
    </row>
    <row r="39" spans="1:5" ht="14.25" customHeight="1" x14ac:dyDescent="0.35">
      <c r="A39" s="194" t="s">
        <v>471</v>
      </c>
      <c r="B39" s="195">
        <v>22212.7</v>
      </c>
      <c r="C39" s="196">
        <f t="shared" si="2"/>
        <v>2.2415848511210257E-2</v>
      </c>
      <c r="D39" s="195">
        <v>3812</v>
      </c>
      <c r="E39" s="196">
        <f t="shared" si="3"/>
        <v>3.3342369205746847E-2</v>
      </c>
    </row>
    <row r="40" spans="1:5" ht="14.25" customHeight="1" x14ac:dyDescent="0.35">
      <c r="A40" s="194" t="s">
        <v>472</v>
      </c>
      <c r="B40" s="195">
        <v>22326.9</v>
      </c>
      <c r="C40" s="196">
        <f t="shared" si="2"/>
        <v>5.1412030054878155E-3</v>
      </c>
      <c r="D40" s="195">
        <v>3956</v>
      </c>
      <c r="E40" s="196">
        <f t="shared" si="3"/>
        <v>3.7775445960125831E-2</v>
      </c>
    </row>
    <row r="41" spans="1:5" ht="14.25" customHeight="1" x14ac:dyDescent="0.35">
      <c r="A41" s="194" t="s">
        <v>473</v>
      </c>
      <c r="B41" s="195">
        <v>22604.85</v>
      </c>
      <c r="C41" s="196">
        <f t="shared" si="2"/>
        <v>1.2449108474530624E-2</v>
      </c>
      <c r="D41" s="195">
        <v>4123</v>
      </c>
      <c r="E41" s="196">
        <f t="shared" si="3"/>
        <v>4.2214357937310432E-2</v>
      </c>
    </row>
    <row r="42" spans="1:5" ht="14.25" customHeight="1" x14ac:dyDescent="0.35">
      <c r="A42" s="194" t="s">
        <v>474</v>
      </c>
      <c r="B42" s="195">
        <v>23350.400000000001</v>
      </c>
      <c r="C42" s="196">
        <f t="shared" si="2"/>
        <v>3.2981860087547776E-2</v>
      </c>
      <c r="D42" s="195">
        <v>4389</v>
      </c>
      <c r="E42" s="196">
        <f t="shared" si="3"/>
        <v>6.4516129032258007E-2</v>
      </c>
    </row>
    <row r="43" spans="1:5" ht="14.25" customHeight="1" x14ac:dyDescent="0.35">
      <c r="A43" s="194" t="s">
        <v>475</v>
      </c>
      <c r="B43" s="195">
        <v>24010.6</v>
      </c>
      <c r="C43" s="196">
        <f t="shared" si="2"/>
        <v>2.8273605591338846E-2</v>
      </c>
      <c r="D43" s="195">
        <v>4567</v>
      </c>
      <c r="E43" s="196">
        <f t="shared" si="3"/>
        <v>4.0555935292777345E-2</v>
      </c>
    </row>
    <row r="44" spans="1:5" ht="14.25" customHeight="1" x14ac:dyDescent="0.35">
      <c r="A44" s="194" t="s">
        <v>476</v>
      </c>
      <c r="B44" s="195">
        <v>24951.15</v>
      </c>
      <c r="C44" s="196">
        <f t="shared" si="2"/>
        <v>3.917228224200997E-2</v>
      </c>
      <c r="D44" s="195">
        <v>4823</v>
      </c>
      <c r="E44" s="196">
        <f t="shared" si="3"/>
        <v>5.6054302605649253E-2</v>
      </c>
    </row>
    <row r="45" spans="1:5" ht="14.25" customHeight="1" x14ac:dyDescent="0.35">
      <c r="A45" s="194" t="s">
        <v>477</v>
      </c>
      <c r="B45" s="195">
        <v>25235.9</v>
      </c>
      <c r="C45" s="196">
        <f t="shared" si="2"/>
        <v>1.141229963348378E-2</v>
      </c>
      <c r="D45" s="195">
        <v>4712</v>
      </c>
      <c r="E45" s="196">
        <f t="shared" si="3"/>
        <v>-2.3014721127928683E-2</v>
      </c>
    </row>
    <row r="46" spans="1:5" ht="14.25" customHeight="1" x14ac:dyDescent="0.35">
      <c r="A46" s="194" t="s">
        <v>478</v>
      </c>
      <c r="B46" s="195">
        <v>26178.35</v>
      </c>
      <c r="C46" s="196">
        <f t="shared" si="2"/>
        <v>3.7345606853728119E-2</v>
      </c>
      <c r="D46" s="195">
        <v>5045</v>
      </c>
      <c r="E46" s="196">
        <f t="shared" si="3"/>
        <v>7.0670628183361561E-2</v>
      </c>
    </row>
    <row r="47" spans="1:5" ht="14.25" customHeight="1" x14ac:dyDescent="0.35">
      <c r="A47" s="194" t="s">
        <v>479</v>
      </c>
      <c r="B47" s="195">
        <v>24304.35</v>
      </c>
      <c r="C47" s="196">
        <f t="shared" si="2"/>
        <v>-7.1585871531246292E-2</v>
      </c>
      <c r="D47" s="195">
        <v>4623</v>
      </c>
      <c r="E47" s="196">
        <f t="shared" si="3"/>
        <v>-8.3647175421209141E-2</v>
      </c>
    </row>
    <row r="48" spans="1:5" ht="14.25" customHeight="1" x14ac:dyDescent="0.35">
      <c r="A48" s="194" t="s">
        <v>480</v>
      </c>
      <c r="B48" s="195">
        <v>23644.799999999999</v>
      </c>
      <c r="C48" s="196">
        <f t="shared" si="2"/>
        <v>-2.7137117429595903E-2</v>
      </c>
      <c r="D48" s="195">
        <v>4312</v>
      </c>
      <c r="E48" s="196">
        <f t="shared" si="3"/>
        <v>-6.7272333982262622E-2</v>
      </c>
    </row>
    <row r="49" spans="1:5" ht="14.25" customHeight="1" x14ac:dyDescent="0.35">
      <c r="A49" s="194" t="s">
        <v>481</v>
      </c>
      <c r="B49" s="195">
        <v>23644.799999999999</v>
      </c>
      <c r="C49" s="196">
        <f t="shared" si="2"/>
        <v>0</v>
      </c>
      <c r="D49" s="195">
        <v>4187</v>
      </c>
      <c r="E49" s="196">
        <f t="shared" si="3"/>
        <v>-2.898886827458258E-2</v>
      </c>
    </row>
    <row r="50" spans="1:5" ht="14.25" customHeight="1" x14ac:dyDescent="0.35">
      <c r="A50" s="194" t="s">
        <v>482</v>
      </c>
      <c r="B50" s="195">
        <v>23163.65</v>
      </c>
      <c r="C50" s="196">
        <f t="shared" si="2"/>
        <v>-2.0349083096494747E-2</v>
      </c>
      <c r="D50" s="195">
        <v>3956</v>
      </c>
      <c r="E50" s="196">
        <f t="shared" si="3"/>
        <v>-5.5170766658705572E-2</v>
      </c>
    </row>
    <row r="51" spans="1:5" ht="14.25" customHeight="1" x14ac:dyDescent="0.35">
      <c r="A51" s="194" t="s">
        <v>483</v>
      </c>
      <c r="B51" s="195">
        <v>22124.7</v>
      </c>
      <c r="C51" s="196">
        <f t="shared" si="2"/>
        <v>-4.4852603108750166E-2</v>
      </c>
      <c r="D51" s="195">
        <v>3712</v>
      </c>
      <c r="E51" s="196">
        <f t="shared" si="3"/>
        <v>-6.1678463094034353E-2</v>
      </c>
    </row>
    <row r="52" spans="1:5" ht="14.25" customHeight="1" x14ac:dyDescent="0.35">
      <c r="A52" s="194" t="s">
        <v>484</v>
      </c>
      <c r="B52" s="195">
        <v>23519.35</v>
      </c>
      <c r="C52" s="196">
        <f t="shared" si="2"/>
        <v>6.3035882972424462E-2</v>
      </c>
      <c r="D52" s="195">
        <v>3834</v>
      </c>
      <c r="E52" s="196">
        <f t="shared" si="3"/>
        <v>3.2866379310344751E-2</v>
      </c>
    </row>
    <row r="53" spans="1:5" ht="14.25" customHeight="1" x14ac:dyDescent="0.35">
      <c r="A53" s="194" t="s">
        <v>485</v>
      </c>
      <c r="B53" s="195">
        <v>24039.35</v>
      </c>
      <c r="C53" s="196">
        <f t="shared" si="2"/>
        <v>2.2109454555504282E-2</v>
      </c>
      <c r="D53" s="195">
        <v>3912</v>
      </c>
      <c r="E53" s="196">
        <f t="shared" si="3"/>
        <v>2.0344287949921824E-2</v>
      </c>
    </row>
    <row r="54" spans="1:5" ht="14.25" customHeight="1" x14ac:dyDescent="0.35">
      <c r="A54" s="194" t="s">
        <v>486</v>
      </c>
      <c r="B54" s="195">
        <v>24667.5</v>
      </c>
      <c r="C54" s="196">
        <f t="shared" si="2"/>
        <v>2.6130074232456391E-2</v>
      </c>
      <c r="D54" s="195">
        <v>4023</v>
      </c>
      <c r="E54" s="196">
        <f t="shared" si="3"/>
        <v>2.8374233128834359E-2</v>
      </c>
    </row>
    <row r="55" spans="1:5" ht="14.25" customHeight="1" x14ac:dyDescent="0.35">
      <c r="A55" s="194" t="s">
        <v>487</v>
      </c>
      <c r="B55" s="195">
        <v>25019.8</v>
      </c>
      <c r="C55" s="196">
        <f t="shared" si="2"/>
        <v>1.4281949934123794E-2</v>
      </c>
      <c r="D55" s="195">
        <v>4156</v>
      </c>
      <c r="E55" s="196">
        <f t="shared" si="3"/>
        <v>3.3059905543127099E-2</v>
      </c>
    </row>
    <row r="56" spans="1:5" ht="14.25" customHeight="1" x14ac:dyDescent="0.35">
      <c r="A56" s="194" t="s">
        <v>488</v>
      </c>
      <c r="B56" s="195">
        <v>25145.3</v>
      </c>
      <c r="C56" s="196">
        <f t="shared" si="2"/>
        <v>5.0160273063732941E-3</v>
      </c>
      <c r="D56" s="195">
        <v>4267</v>
      </c>
      <c r="E56" s="196">
        <f t="shared" si="3"/>
        <v>2.670837343599608E-2</v>
      </c>
    </row>
    <row r="57" spans="1:5" ht="14.25" customHeight="1" x14ac:dyDescent="0.35">
      <c r="A57" s="194" t="s">
        <v>489</v>
      </c>
      <c r="B57" s="195">
        <v>25312.7</v>
      </c>
      <c r="C57" s="196">
        <f t="shared" si="2"/>
        <v>6.6573077274878489E-3</v>
      </c>
      <c r="D57" s="195">
        <v>4312</v>
      </c>
      <c r="E57" s="196">
        <f t="shared" si="3"/>
        <v>1.054605108975859E-2</v>
      </c>
    </row>
    <row r="58" spans="1:5" ht="14.25" customHeight="1" x14ac:dyDescent="0.35">
      <c r="A58" s="194" t="s">
        <v>490</v>
      </c>
      <c r="B58" s="195">
        <v>25689.4</v>
      </c>
      <c r="C58" s="196">
        <f t="shared" si="2"/>
        <v>1.4881857723593406E-2</v>
      </c>
      <c r="D58" s="195">
        <v>4445</v>
      </c>
      <c r="E58" s="196">
        <f t="shared" si="3"/>
        <v>3.0844155844155896E-2</v>
      </c>
    </row>
    <row r="59" spans="1:5" ht="14.25" customHeight="1" x14ac:dyDescent="0.35">
      <c r="A59" s="194" t="s">
        <v>491</v>
      </c>
      <c r="B59" s="195">
        <v>24854.1</v>
      </c>
      <c r="C59" s="196">
        <f t="shared" si="2"/>
        <v>-3.2515356528373673E-2</v>
      </c>
      <c r="D59" s="195">
        <v>4189</v>
      </c>
      <c r="E59" s="196">
        <f t="shared" si="3"/>
        <v>-5.7592800899887497E-2</v>
      </c>
    </row>
    <row r="60" spans="1:5" ht="14.25" customHeight="1" x14ac:dyDescent="0.35">
      <c r="A60" s="194" t="s">
        <v>492</v>
      </c>
      <c r="B60" s="195">
        <v>24677.200000000001</v>
      </c>
      <c r="C60" s="196">
        <f t="shared" si="2"/>
        <v>-7.1175379514847315E-3</v>
      </c>
      <c r="D60" s="195">
        <v>4056</v>
      </c>
      <c r="E60" s="196">
        <f t="shared" si="3"/>
        <v>-3.1749820959656283E-2</v>
      </c>
    </row>
    <row r="61" spans="1:5" ht="14.25" customHeight="1" x14ac:dyDescent="0.35">
      <c r="A61" s="194" t="s">
        <v>493</v>
      </c>
      <c r="B61" s="195">
        <v>23959.9</v>
      </c>
      <c r="C61" s="196">
        <f t="shared" si="2"/>
        <v>-2.9067317199682252E-2</v>
      </c>
      <c r="D61" s="195">
        <v>3945</v>
      </c>
      <c r="E61" s="196">
        <f t="shared" si="3"/>
        <v>-2.7366863905325389E-2</v>
      </c>
    </row>
    <row r="62" spans="1:5" ht="14.25" customHeight="1" x14ac:dyDescent="0.35">
      <c r="A62" s="194" t="s">
        <v>494</v>
      </c>
      <c r="B62" s="195">
        <v>23523.5</v>
      </c>
      <c r="C62" s="196">
        <f t="shared" si="2"/>
        <v>-1.8213765499856094E-2</v>
      </c>
      <c r="D62" s="195">
        <v>3867</v>
      </c>
      <c r="E62" s="196">
        <f t="shared" si="3"/>
        <v>-1.9771863117870714E-2</v>
      </c>
    </row>
    <row r="63" spans="1:5" ht="14.25" customHeight="1" x14ac:dyDescent="0.35">
      <c r="A63" s="194" t="s">
        <v>495</v>
      </c>
      <c r="B63" s="195">
        <v>24012.3</v>
      </c>
      <c r="C63" s="196">
        <f t="shared" si="2"/>
        <v>2.0779220779220786E-2</v>
      </c>
      <c r="D63" s="195">
        <v>3978</v>
      </c>
      <c r="E63" s="196">
        <f t="shared" si="3"/>
        <v>2.8704422032583388E-2</v>
      </c>
    </row>
    <row r="64" spans="1:5" ht="14.25" customHeight="1" x14ac:dyDescent="0.35">
      <c r="A64" s="194" t="s">
        <v>496</v>
      </c>
      <c r="B64" s="195">
        <v>24589.7</v>
      </c>
      <c r="C64" s="196">
        <f t="shared" si="2"/>
        <v>2.4046009753334818E-2</v>
      </c>
      <c r="D64" s="195">
        <v>4089</v>
      </c>
      <c r="E64" s="196">
        <f t="shared" si="3"/>
        <v>2.7903469079939569E-2</v>
      </c>
    </row>
    <row r="65" spans="1:5" ht="14.25" customHeight="1" x14ac:dyDescent="0.35">
      <c r="A65" s="194" t="s">
        <v>497</v>
      </c>
      <c r="B65" s="195">
        <v>24955.5</v>
      </c>
      <c r="C65" s="196">
        <f t="shared" si="2"/>
        <v>1.4876147329979661E-2</v>
      </c>
      <c r="D65" s="195">
        <v>4156</v>
      </c>
      <c r="E65" s="196">
        <f t="shared" si="3"/>
        <v>1.6385424309121932E-2</v>
      </c>
    </row>
  </sheetData>
  <mergeCells count="2">
    <mergeCell ref="A1:I1"/>
    <mergeCell ref="A2:I2"/>
  </mergeCells>
  <pageMargins left="0.7" right="0.7" top="0.75" bottom="0.75" header="0.511811023622047" footer="0.511811023622047"/>
  <pageSetup paperSize="9" orientation="portrait" horizontalDpi="300" verticalDpi="300"/>
  <ignoredErrors>
    <ignoredError sqref="H6:H7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24"/>
  <sheetViews>
    <sheetView showGridLines="0" topLeftCell="A4" zoomScale="71" zoomScaleNormal="71" workbookViewId="0">
      <selection activeCell="I10" sqref="I10"/>
    </sheetView>
  </sheetViews>
  <sheetFormatPr defaultColWidth="11.6328125" defaultRowHeight="14.5" outlineLevelRow="1" x14ac:dyDescent="0.35"/>
  <cols>
    <col min="1" max="3" width="1.26953125" style="123" customWidth="1"/>
    <col min="4" max="4" width="40.6328125" style="123" customWidth="1"/>
    <col min="5" max="5" width="13.90625" style="123" customWidth="1"/>
    <col min="6" max="6" width="19.6328125" style="123" customWidth="1"/>
    <col min="7" max="7" width="9.81640625" style="123" customWidth="1"/>
    <col min="8" max="8" width="13" style="123" customWidth="1"/>
    <col min="9" max="9" width="10.453125" style="123" customWidth="1"/>
    <col min="10" max="10" width="13.54296875" style="123" customWidth="1"/>
    <col min="11" max="11" width="12.36328125" style="123" customWidth="1"/>
    <col min="12" max="12" width="9.54296875" style="123" customWidth="1"/>
    <col min="13" max="13" width="12.54296875" style="123" customWidth="1"/>
    <col min="14" max="14" width="14.81640625" style="123" customWidth="1"/>
    <col min="15" max="16384" width="11.6328125" style="123"/>
  </cols>
  <sheetData>
    <row r="1" spans="1:19" s="11" customFormat="1" ht="33" customHeight="1" x14ac:dyDescent="0.7">
      <c r="A1" s="110" t="s">
        <v>0</v>
      </c>
      <c r="B1" s="111"/>
      <c r="C1" s="111"/>
      <c r="D1" s="111"/>
      <c r="E1" s="13"/>
      <c r="F1" s="39"/>
      <c r="G1" s="39"/>
      <c r="H1" s="39"/>
      <c r="I1" s="39"/>
      <c r="J1" s="39"/>
      <c r="K1" s="39"/>
      <c r="L1" s="39"/>
      <c r="M1" s="39"/>
      <c r="N1" s="39"/>
      <c r="O1" s="160"/>
      <c r="P1" s="160"/>
      <c r="Q1" s="160"/>
      <c r="R1" s="123"/>
      <c r="S1" s="123"/>
    </row>
    <row r="2" spans="1:19" s="11" customFormat="1" ht="20.25" customHeight="1" x14ac:dyDescent="0.35">
      <c r="A2" s="161" t="s">
        <v>498</v>
      </c>
      <c r="B2" s="111"/>
      <c r="C2" s="111"/>
      <c r="D2" s="111"/>
      <c r="E2" s="13"/>
      <c r="F2" s="13"/>
      <c r="G2" s="13"/>
      <c r="H2" s="112"/>
      <c r="I2" s="112"/>
      <c r="J2" s="112"/>
      <c r="K2" s="112"/>
      <c r="L2" s="112"/>
      <c r="M2" s="42"/>
      <c r="N2" s="42"/>
      <c r="O2" s="48"/>
      <c r="P2" s="48"/>
      <c r="Q2" s="48"/>
      <c r="R2" s="123"/>
      <c r="S2" s="123"/>
    </row>
    <row r="3" spans="1:19" s="11" customFormat="1" ht="20.25" customHeight="1" x14ac:dyDescent="0.45">
      <c r="A3" s="43"/>
      <c r="B3" s="44"/>
      <c r="C3" s="44"/>
      <c r="D3" s="45"/>
      <c r="E3" s="45"/>
      <c r="F3" s="45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9" ht="20.25" customHeight="1" x14ac:dyDescent="0.45">
      <c r="A4" s="49" t="s">
        <v>499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164"/>
      <c r="M4" s="164"/>
      <c r="N4" s="48"/>
      <c r="O4" s="162"/>
      <c r="P4" s="163"/>
      <c r="Q4" s="163"/>
      <c r="R4" s="163"/>
      <c r="S4" s="163"/>
    </row>
    <row r="5" spans="1:19" ht="20.25" customHeight="1" x14ac:dyDescent="0.4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 t="s">
        <v>500</v>
      </c>
      <c r="L5" s="164"/>
      <c r="M5" s="164"/>
      <c r="N5" s="48"/>
      <c r="O5" s="119"/>
      <c r="Q5" s="120"/>
      <c r="R5" s="120"/>
      <c r="S5" s="120"/>
    </row>
    <row r="6" spans="1:19" ht="20.25" customHeight="1" x14ac:dyDescent="0.45">
      <c r="A6" s="175"/>
      <c r="B6" s="201"/>
      <c r="C6" s="201"/>
      <c r="D6" s="25"/>
      <c r="E6" s="25"/>
      <c r="F6" s="25"/>
      <c r="G6" s="25"/>
      <c r="H6" s="202" t="s">
        <v>501</v>
      </c>
      <c r="I6" s="202" t="s">
        <v>502</v>
      </c>
      <c r="J6" s="202" t="s">
        <v>503</v>
      </c>
      <c r="K6" s="202" t="s">
        <v>504</v>
      </c>
      <c r="L6" s="120"/>
      <c r="M6" s="119"/>
      <c r="N6" s="119"/>
      <c r="O6" s="121"/>
      <c r="Q6" s="121"/>
      <c r="R6" s="121"/>
      <c r="S6" s="121"/>
    </row>
    <row r="7" spans="1:19" ht="20.25" customHeight="1" x14ac:dyDescent="0.35">
      <c r="A7" s="146"/>
      <c r="B7" s="146"/>
      <c r="C7" s="146"/>
      <c r="D7" s="146" t="s">
        <v>505</v>
      </c>
      <c r="E7" s="146"/>
      <c r="F7" s="146"/>
      <c r="G7" s="203"/>
      <c r="H7" s="146">
        <f>MAX('Comp Valuation'!K27:K29)</f>
        <v>840.58620689655174</v>
      </c>
      <c r="I7" s="146">
        <v>746.89766571738994</v>
      </c>
      <c r="J7" s="146">
        <f>Beta!H6/10</f>
        <v>444.5</v>
      </c>
      <c r="K7" s="146">
        <v>972</v>
      </c>
      <c r="L7" s="120"/>
      <c r="M7" s="121"/>
      <c r="N7" s="121"/>
      <c r="O7" s="121"/>
      <c r="Q7" s="121"/>
      <c r="R7" s="121"/>
      <c r="S7" s="121"/>
    </row>
    <row r="8" spans="1:19" ht="15" customHeight="1" x14ac:dyDescent="0.35">
      <c r="A8" s="146"/>
      <c r="B8" s="146"/>
      <c r="C8" s="146"/>
      <c r="D8" s="146" t="s">
        <v>505</v>
      </c>
      <c r="E8" s="146"/>
      <c r="F8" s="146"/>
      <c r="G8" s="146"/>
      <c r="H8" s="146">
        <f>H7</f>
        <v>840.58620689655174</v>
      </c>
      <c r="I8" s="146">
        <f>I7</f>
        <v>746.89766571738994</v>
      </c>
      <c r="J8" s="146">
        <f>J7</f>
        <v>444.5</v>
      </c>
      <c r="K8" s="146">
        <v>972</v>
      </c>
      <c r="L8" s="146"/>
      <c r="M8" s="146"/>
      <c r="N8" s="146"/>
      <c r="O8" s="146"/>
      <c r="P8" s="146"/>
      <c r="Q8" s="147"/>
      <c r="R8" s="147"/>
      <c r="S8" s="147"/>
    </row>
    <row r="9" spans="1:19" ht="15" customHeight="1" x14ac:dyDescent="0.35">
      <c r="A9" s="146"/>
      <c r="B9" s="146"/>
      <c r="C9" s="146"/>
      <c r="D9" s="146" t="s">
        <v>506</v>
      </c>
      <c r="E9" s="146"/>
      <c r="F9" s="146"/>
      <c r="G9" s="146"/>
      <c r="H9" s="146">
        <f>MIN('Comp Valuation'!K27:K29)</f>
        <v>525.04022988505744</v>
      </c>
      <c r="I9" s="146">
        <v>594.11576405043479</v>
      </c>
      <c r="J9" s="146">
        <f>Beta!H7/10</f>
        <v>386.7</v>
      </c>
      <c r="K9" s="146">
        <v>716</v>
      </c>
      <c r="L9" s="204"/>
      <c r="M9" s="205"/>
      <c r="N9" s="206"/>
      <c r="O9" s="146"/>
      <c r="P9" s="146"/>
      <c r="Q9" s="147"/>
      <c r="R9" s="147"/>
      <c r="S9" s="147"/>
    </row>
    <row r="10" spans="1:19" ht="15" customHeight="1" x14ac:dyDescent="0.35">
      <c r="A10" s="146"/>
      <c r="B10" s="146"/>
      <c r="C10" s="146"/>
      <c r="D10" s="146" t="s">
        <v>506</v>
      </c>
      <c r="E10" s="146"/>
      <c r="F10" s="146"/>
      <c r="G10" s="146"/>
      <c r="H10" s="146">
        <f>H9</f>
        <v>525.04022988505744</v>
      </c>
      <c r="I10" s="146">
        <f>I9</f>
        <v>594.11576405043479</v>
      </c>
      <c r="J10" s="146">
        <f>J9</f>
        <v>386.7</v>
      </c>
      <c r="K10" s="146">
        <v>716</v>
      </c>
      <c r="L10" s="204"/>
      <c r="M10" s="205"/>
      <c r="N10" s="206"/>
      <c r="O10" s="146"/>
      <c r="P10" s="146"/>
      <c r="Q10" s="147"/>
      <c r="R10" s="147"/>
      <c r="S10" s="147"/>
    </row>
    <row r="11" spans="1:19" ht="15" customHeight="1" x14ac:dyDescent="0.35">
      <c r="A11" s="146"/>
      <c r="B11" s="146"/>
      <c r="C11" s="146"/>
      <c r="D11" s="146"/>
      <c r="E11" s="146"/>
      <c r="F11" s="146"/>
      <c r="G11" s="146"/>
      <c r="H11" s="207"/>
      <c r="I11" s="207"/>
      <c r="J11" s="207"/>
      <c r="K11" s="207"/>
      <c r="L11" s="204"/>
      <c r="M11" s="205"/>
      <c r="N11" s="206"/>
      <c r="O11" s="146"/>
      <c r="P11" s="146"/>
      <c r="Q11" s="147"/>
      <c r="R11" s="147"/>
      <c r="S11" s="147"/>
    </row>
    <row r="12" spans="1:19" ht="15" customHeight="1" x14ac:dyDescent="0.45">
      <c r="A12" s="49" t="s">
        <v>507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204"/>
      <c r="M12" s="205"/>
      <c r="N12" s="206"/>
      <c r="O12" s="146"/>
      <c r="P12" s="146"/>
      <c r="Q12" s="147"/>
      <c r="R12" s="147"/>
      <c r="S12" s="147"/>
    </row>
    <row r="13" spans="1:19" ht="15" customHeight="1" x14ac:dyDescent="0.35">
      <c r="A13" s="124"/>
      <c r="B13" s="124"/>
      <c r="C13" s="124"/>
      <c r="D13" s="125"/>
      <c r="E13" s="126"/>
      <c r="F13" s="146"/>
      <c r="G13" s="146"/>
      <c r="H13" s="146"/>
      <c r="I13" s="146"/>
      <c r="J13" s="204"/>
      <c r="K13" s="204"/>
      <c r="L13" s="204"/>
      <c r="M13" s="205"/>
      <c r="N13" s="206"/>
      <c r="O13" s="146"/>
      <c r="P13" s="146"/>
      <c r="Q13" s="147"/>
      <c r="R13" s="147"/>
      <c r="S13" s="147"/>
    </row>
    <row r="14" spans="1:19" ht="15" customHeight="1" x14ac:dyDescent="0.35">
      <c r="A14" s="124"/>
      <c r="B14" s="124"/>
      <c r="C14" s="124"/>
      <c r="D14" s="125"/>
      <c r="E14" s="126"/>
      <c r="F14" s="146"/>
      <c r="G14" s="146"/>
      <c r="H14" s="146"/>
      <c r="I14" s="146"/>
      <c r="J14" s="204"/>
      <c r="K14" s="204"/>
      <c r="L14" s="204"/>
      <c r="M14" s="205"/>
      <c r="N14" s="206"/>
      <c r="O14" s="146"/>
      <c r="P14" s="146"/>
      <c r="Q14" s="147"/>
      <c r="R14" s="147"/>
      <c r="S14" s="147"/>
    </row>
    <row r="15" spans="1:19" ht="15" customHeight="1" x14ac:dyDescent="0.35">
      <c r="A15" s="124"/>
      <c r="B15" s="124"/>
      <c r="C15" s="124"/>
      <c r="D15" s="125"/>
      <c r="E15" s="126"/>
      <c r="F15" s="146"/>
      <c r="G15" s="146"/>
      <c r="H15" s="146"/>
      <c r="I15" s="146"/>
      <c r="J15" s="204"/>
      <c r="K15" s="204"/>
      <c r="L15" s="204"/>
      <c r="M15" s="205"/>
      <c r="N15" s="206"/>
      <c r="O15" s="146"/>
      <c r="P15" s="146"/>
      <c r="Q15" s="147"/>
      <c r="R15" s="147"/>
      <c r="S15" s="147"/>
    </row>
    <row r="16" spans="1:19" ht="15" customHeight="1" x14ac:dyDescent="0.35">
      <c r="A16" s="124"/>
      <c r="B16" s="124"/>
      <c r="C16" s="124"/>
      <c r="D16" s="125"/>
      <c r="E16" s="126"/>
      <c r="F16" s="146"/>
      <c r="G16" s="146"/>
      <c r="H16" s="146"/>
      <c r="I16" s="146"/>
      <c r="J16" s="204"/>
      <c r="K16" s="204"/>
      <c r="L16" s="204"/>
      <c r="M16" s="205"/>
      <c r="N16" s="206"/>
      <c r="O16" s="146"/>
      <c r="P16" s="146"/>
      <c r="Q16" s="147"/>
      <c r="R16" s="147"/>
      <c r="S16" s="147"/>
    </row>
    <row r="17" spans="1:19" ht="15" customHeight="1" x14ac:dyDescent="0.35">
      <c r="A17" s="124"/>
      <c r="B17" s="124"/>
      <c r="C17" s="124"/>
      <c r="D17" s="125"/>
      <c r="E17" s="126"/>
      <c r="F17" s="146"/>
      <c r="G17" s="146"/>
      <c r="H17" s="146"/>
      <c r="I17" s="146"/>
      <c r="J17" s="204"/>
      <c r="K17" s="204"/>
      <c r="L17" s="204"/>
      <c r="M17" s="205"/>
      <c r="N17" s="206"/>
      <c r="O17" s="146"/>
      <c r="P17" s="146"/>
      <c r="Q17" s="147"/>
      <c r="R17" s="147"/>
      <c r="S17" s="147"/>
    </row>
    <row r="18" spans="1:19" ht="15" customHeight="1" x14ac:dyDescent="0.35">
      <c r="A18" s="124"/>
      <c r="B18" s="124"/>
      <c r="C18" s="124"/>
      <c r="D18" s="125"/>
      <c r="E18" s="126"/>
      <c r="F18" s="146"/>
      <c r="G18" s="146"/>
      <c r="H18" s="146"/>
      <c r="I18" s="146"/>
      <c r="J18" s="204"/>
      <c r="K18" s="204"/>
      <c r="L18" s="204"/>
      <c r="M18" s="205"/>
      <c r="N18" s="206"/>
      <c r="O18" s="159"/>
      <c r="P18" s="159"/>
      <c r="Q18" s="159"/>
      <c r="R18" s="159"/>
      <c r="S18" s="159"/>
    </row>
    <row r="19" spans="1:19" ht="15" customHeight="1" x14ac:dyDescent="0.35">
      <c r="A19" s="124"/>
      <c r="B19" s="124"/>
      <c r="C19" s="124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47"/>
      <c r="R19" s="147"/>
      <c r="S19" s="147"/>
    </row>
    <row r="20" spans="1:19" ht="15" customHeight="1" x14ac:dyDescent="0.35">
      <c r="A20" s="124"/>
      <c r="B20" s="124"/>
      <c r="C20" s="124"/>
      <c r="D20" s="159"/>
      <c r="E20" s="159"/>
      <c r="F20" s="159"/>
      <c r="G20" s="159"/>
      <c r="H20" s="159"/>
      <c r="I20" s="159"/>
      <c r="J20" s="208"/>
      <c r="K20" s="208"/>
      <c r="L20" s="208"/>
      <c r="M20" s="209"/>
      <c r="N20" s="209"/>
      <c r="O20" s="172"/>
      <c r="P20" s="172"/>
      <c r="Q20" s="147"/>
      <c r="R20" s="147"/>
      <c r="S20" s="147"/>
    </row>
    <row r="21" spans="1:19" ht="15" customHeight="1" x14ac:dyDescent="0.35">
      <c r="A21" s="124"/>
      <c r="B21" s="124"/>
      <c r="C21" s="124"/>
      <c r="D21" s="159"/>
      <c r="E21" s="159"/>
      <c r="F21" s="159"/>
      <c r="G21" s="159"/>
      <c r="H21" s="159"/>
      <c r="I21" s="172"/>
      <c r="J21" s="208"/>
      <c r="K21" s="208"/>
      <c r="L21" s="208"/>
      <c r="M21" s="25"/>
      <c r="N21" s="209"/>
      <c r="O21" s="132"/>
      <c r="P21" s="132"/>
      <c r="Q21" s="132"/>
      <c r="R21" s="132"/>
      <c r="S21" s="132"/>
    </row>
    <row r="22" spans="1:19" ht="15" customHeight="1" x14ac:dyDescent="0.35">
      <c r="A22" s="124"/>
      <c r="B22" s="124"/>
      <c r="C22" s="124"/>
      <c r="D22" s="159"/>
      <c r="E22" s="159"/>
      <c r="F22" s="159"/>
      <c r="G22" s="159"/>
      <c r="H22" s="159"/>
      <c r="I22" s="172"/>
      <c r="J22" s="172"/>
      <c r="K22" s="172"/>
      <c r="L22" s="172"/>
      <c r="M22" s="172"/>
      <c r="N22" s="132"/>
      <c r="O22" s="146"/>
      <c r="P22" s="146"/>
      <c r="Q22" s="174"/>
      <c r="R22" s="147"/>
      <c r="S22" s="147"/>
    </row>
    <row r="23" spans="1:19" ht="20.25" customHeight="1" x14ac:dyDescent="0.45">
      <c r="D23" s="133"/>
      <c r="E23" s="134"/>
      <c r="F23" s="146"/>
      <c r="G23" s="146"/>
      <c r="H23" s="146"/>
      <c r="I23" s="146"/>
      <c r="J23" s="204"/>
      <c r="K23" s="204"/>
      <c r="L23" s="204"/>
      <c r="M23" s="146"/>
      <c r="N23" s="146"/>
      <c r="O23" s="43"/>
      <c r="P23" s="43"/>
      <c r="Q23" s="43"/>
    </row>
    <row r="24" spans="1:19" s="142" customFormat="1" ht="18" customHeight="1" outlineLevel="1" x14ac:dyDescent="0.45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</row>
    <row r="25" spans="1:19" s="142" customFormat="1" ht="18" customHeight="1" outlineLevel="1" x14ac:dyDescent="0.45">
      <c r="A25" s="79"/>
      <c r="B25" s="53"/>
      <c r="C25" s="79"/>
      <c r="D25" s="167"/>
      <c r="E25" s="210"/>
      <c r="F25" s="120"/>
      <c r="G25" s="120"/>
      <c r="H25" s="120"/>
      <c r="I25" s="120"/>
      <c r="J25" s="210"/>
      <c r="K25" s="79"/>
      <c r="L25" s="79"/>
      <c r="M25" s="79"/>
      <c r="O25" s="146"/>
      <c r="P25" s="146"/>
      <c r="Q25" s="146"/>
    </row>
    <row r="26" spans="1:19" s="142" customFormat="1" ht="18" customHeight="1" outlineLevel="1" x14ac:dyDescent="0.45">
      <c r="A26" s="79"/>
      <c r="B26" s="79"/>
      <c r="C26" s="79"/>
      <c r="D26" s="79"/>
      <c r="E26" s="211"/>
      <c r="F26" s="146"/>
      <c r="G26" s="146"/>
      <c r="H26" s="146"/>
      <c r="I26" s="146"/>
      <c r="J26" s="146"/>
      <c r="K26" s="146"/>
      <c r="L26" s="124"/>
      <c r="M26" s="124"/>
      <c r="N26" s="150"/>
      <c r="O26" s="146"/>
      <c r="P26" s="146"/>
      <c r="Q26" s="146"/>
    </row>
    <row r="27" spans="1:19" s="142" customFormat="1" ht="18" customHeight="1" outlineLevel="1" x14ac:dyDescent="0.45">
      <c r="A27" s="79"/>
      <c r="B27" s="79"/>
      <c r="C27" s="79"/>
      <c r="D27" s="53"/>
      <c r="E27" s="211"/>
      <c r="F27" s="146"/>
      <c r="G27" s="146"/>
      <c r="H27" s="146"/>
      <c r="I27" s="146"/>
      <c r="J27" s="146"/>
      <c r="K27" s="146"/>
      <c r="L27" s="124"/>
      <c r="M27" s="124"/>
      <c r="N27" s="150"/>
      <c r="O27" s="149"/>
      <c r="P27" s="149"/>
      <c r="Q27" s="149"/>
    </row>
    <row r="28" spans="1:19" s="142" customFormat="1" ht="18" customHeight="1" outlineLevel="1" x14ac:dyDescent="0.45">
      <c r="A28" s="79"/>
      <c r="B28" s="79"/>
      <c r="C28" s="79"/>
      <c r="D28" s="79"/>
      <c r="E28" s="211"/>
      <c r="F28" s="146"/>
      <c r="G28" s="146"/>
      <c r="H28" s="146"/>
      <c r="I28" s="146"/>
      <c r="J28" s="146"/>
      <c r="K28" s="146"/>
      <c r="L28" s="149"/>
      <c r="M28" s="149"/>
      <c r="N28" s="150"/>
      <c r="O28" s="150"/>
      <c r="P28" s="150"/>
      <c r="Q28" s="150"/>
    </row>
    <row r="29" spans="1:19" s="142" customFormat="1" ht="18" customHeight="1" outlineLevel="1" x14ac:dyDescent="0.45">
      <c r="A29" s="79"/>
      <c r="B29" s="53"/>
      <c r="C29" s="79"/>
      <c r="D29" s="79"/>
      <c r="E29" s="186"/>
      <c r="F29" s="156"/>
      <c r="G29" s="79"/>
      <c r="H29" s="79"/>
      <c r="I29" s="124"/>
      <c r="J29" s="124"/>
      <c r="K29" s="124"/>
      <c r="L29" s="124"/>
      <c r="M29" s="124"/>
      <c r="N29" s="150"/>
      <c r="O29" s="146"/>
      <c r="P29" s="146"/>
      <c r="Q29" s="146"/>
    </row>
    <row r="30" spans="1:19" s="142" customFormat="1" ht="18" customHeight="1" outlineLevel="1" x14ac:dyDescent="0.45">
      <c r="A30" s="79"/>
      <c r="B30" s="79"/>
      <c r="C30" s="79"/>
      <c r="D30" s="79"/>
      <c r="E30" s="186"/>
      <c r="F30" s="156"/>
      <c r="G30" s="79"/>
      <c r="H30" s="79"/>
      <c r="I30" s="124"/>
      <c r="J30" s="124"/>
      <c r="K30" s="124"/>
      <c r="L30" s="124"/>
      <c r="M30" s="124"/>
      <c r="N30" s="150"/>
      <c r="O30" s="146"/>
      <c r="P30" s="146"/>
      <c r="Q30" s="146"/>
    </row>
    <row r="31" spans="1:19" s="142" customFormat="1" ht="18" customHeight="1" outlineLevel="1" x14ac:dyDescent="0.45">
      <c r="A31" s="79"/>
      <c r="B31" s="79"/>
      <c r="C31" s="79"/>
      <c r="D31" s="53"/>
      <c r="E31" s="79"/>
      <c r="F31" s="156"/>
      <c r="G31" s="79"/>
      <c r="H31" s="79"/>
      <c r="I31" s="124"/>
      <c r="J31" s="124"/>
      <c r="K31" s="124"/>
      <c r="L31" s="124"/>
      <c r="M31" s="124"/>
      <c r="N31" s="150"/>
      <c r="O31" s="149"/>
      <c r="P31" s="149"/>
      <c r="Q31" s="149"/>
    </row>
    <row r="32" spans="1:19" s="142" customFormat="1" ht="18" customHeight="1" outlineLevel="1" x14ac:dyDescent="0.45">
      <c r="A32" s="79"/>
      <c r="B32" s="79"/>
      <c r="C32" s="79"/>
      <c r="D32" s="79"/>
      <c r="E32" s="149"/>
      <c r="F32" s="155"/>
      <c r="G32" s="53"/>
      <c r="H32" s="53"/>
      <c r="I32" s="149"/>
      <c r="J32" s="149"/>
      <c r="K32" s="149"/>
      <c r="L32" s="149"/>
      <c r="M32" s="149"/>
      <c r="N32" s="150"/>
      <c r="O32" s="146"/>
      <c r="P32" s="146"/>
      <c r="Q32" s="146"/>
    </row>
    <row r="33" spans="1:17" s="142" customFormat="1" ht="18" customHeight="1" outlineLevel="1" x14ac:dyDescent="0.45">
      <c r="A33" s="79"/>
      <c r="B33" s="79"/>
      <c r="C33" s="79"/>
      <c r="D33" s="79"/>
      <c r="E33" s="80"/>
      <c r="F33" s="156"/>
      <c r="G33" s="79"/>
      <c r="H33" s="79"/>
      <c r="I33" s="124"/>
      <c r="J33" s="124"/>
      <c r="K33" s="124"/>
      <c r="L33" s="124"/>
      <c r="M33" s="124"/>
      <c r="N33" s="150"/>
      <c r="O33" s="149"/>
      <c r="P33" s="149"/>
      <c r="Q33" s="149"/>
    </row>
    <row r="34" spans="1:17" s="142" customFormat="1" ht="18" customHeight="1" outlineLevel="1" x14ac:dyDescent="0.45">
      <c r="A34" s="79"/>
      <c r="B34" s="79"/>
      <c r="C34" s="79"/>
      <c r="D34" s="79"/>
      <c r="E34" s="185"/>
      <c r="F34" s="155"/>
      <c r="G34" s="53"/>
      <c r="H34" s="53"/>
      <c r="I34" s="149"/>
      <c r="J34" s="149"/>
      <c r="K34" s="149"/>
      <c r="L34" s="149"/>
      <c r="M34" s="149"/>
      <c r="N34" s="150"/>
      <c r="O34" s="146"/>
      <c r="P34" s="146"/>
      <c r="Q34" s="146"/>
    </row>
    <row r="35" spans="1:17" s="142" customFormat="1" ht="18" customHeight="1" outlineLevel="1" x14ac:dyDescent="0.45">
      <c r="A35" s="79"/>
      <c r="B35" s="79"/>
      <c r="C35" s="79"/>
      <c r="D35" s="79"/>
      <c r="E35" s="79"/>
      <c r="F35" s="156"/>
      <c r="G35" s="79"/>
      <c r="H35" s="79"/>
      <c r="I35" s="124"/>
      <c r="J35" s="124"/>
      <c r="K35" s="124"/>
      <c r="L35" s="124"/>
      <c r="M35" s="124"/>
      <c r="N35" s="150"/>
      <c r="O35" s="146"/>
      <c r="P35" s="146"/>
      <c r="Q35" s="146"/>
    </row>
    <row r="36" spans="1:17" s="142" customFormat="1" ht="18" customHeight="1" outlineLevel="1" x14ac:dyDescent="0.45">
      <c r="A36" s="79"/>
      <c r="B36" s="79"/>
      <c r="C36" s="79"/>
      <c r="D36" s="53"/>
      <c r="E36" s="79"/>
      <c r="F36" s="156"/>
      <c r="G36" s="79"/>
      <c r="H36" s="79"/>
      <c r="I36" s="124"/>
      <c r="J36" s="124"/>
      <c r="K36" s="124"/>
      <c r="L36" s="124"/>
      <c r="M36" s="124"/>
      <c r="N36" s="150"/>
      <c r="O36" s="149"/>
      <c r="P36" s="149"/>
      <c r="Q36" s="149"/>
    </row>
    <row r="37" spans="1:17" s="142" customFormat="1" ht="18" customHeight="1" outlineLevel="1" x14ac:dyDescent="0.45">
      <c r="A37" s="79"/>
      <c r="B37" s="79"/>
      <c r="C37" s="79"/>
      <c r="D37" s="79"/>
      <c r="E37" s="185"/>
      <c r="F37" s="155"/>
      <c r="G37" s="53"/>
      <c r="H37" s="53"/>
      <c r="I37" s="149"/>
      <c r="J37" s="149"/>
      <c r="K37" s="149"/>
      <c r="L37" s="149"/>
      <c r="M37" s="149"/>
      <c r="N37" s="150"/>
      <c r="O37" s="146"/>
      <c r="P37" s="146"/>
      <c r="Q37" s="146"/>
    </row>
    <row r="38" spans="1:17" s="142" customFormat="1" ht="18" customHeight="1" outlineLevel="1" x14ac:dyDescent="0.45">
      <c r="A38" s="79"/>
      <c r="B38" s="79"/>
      <c r="C38" s="79"/>
      <c r="D38" s="79"/>
      <c r="E38" s="186"/>
      <c r="F38" s="156"/>
      <c r="G38" s="79"/>
      <c r="H38" s="79"/>
      <c r="I38" s="124"/>
      <c r="J38" s="124"/>
      <c r="K38" s="124"/>
      <c r="L38" s="124"/>
      <c r="M38" s="124"/>
      <c r="N38" s="150"/>
      <c r="O38" s="149"/>
      <c r="P38" s="149"/>
      <c r="Q38" s="149"/>
    </row>
    <row r="39" spans="1:17" s="142" customFormat="1" ht="18" customHeight="1" outlineLevel="1" x14ac:dyDescent="0.45">
      <c r="A39" s="79"/>
      <c r="B39" s="79"/>
      <c r="C39" s="79"/>
      <c r="D39" s="53"/>
      <c r="E39" s="81"/>
      <c r="F39" s="155"/>
      <c r="G39" s="53"/>
      <c r="H39" s="53"/>
      <c r="I39" s="149"/>
      <c r="J39" s="149"/>
      <c r="K39" s="149"/>
      <c r="L39" s="149"/>
      <c r="M39" s="149"/>
      <c r="N39" s="150"/>
      <c r="O39" s="150"/>
      <c r="P39" s="150"/>
      <c r="Q39" s="150"/>
    </row>
    <row r="40" spans="1:17" s="142" customFormat="1" ht="18" customHeight="1" x14ac:dyDescent="0.45">
      <c r="I40" s="157"/>
      <c r="J40" s="157"/>
      <c r="K40" s="157"/>
      <c r="L40" s="157"/>
      <c r="M40" s="157"/>
      <c r="N40" s="150"/>
      <c r="O40" s="150"/>
      <c r="P40" s="150"/>
      <c r="Q40" s="150"/>
    </row>
    <row r="41" spans="1:17" s="142" customFormat="1" ht="20.25" customHeight="1" x14ac:dyDescent="0.45">
      <c r="D41" s="53"/>
      <c r="E41" s="79"/>
      <c r="I41" s="157"/>
      <c r="J41" s="157"/>
      <c r="K41" s="157"/>
      <c r="L41" s="157"/>
      <c r="M41" s="157"/>
      <c r="N41" s="150"/>
      <c r="O41" s="43"/>
      <c r="P41" s="43"/>
      <c r="Q41" s="43"/>
    </row>
    <row r="42" spans="1:17" s="142" customFormat="1" ht="18" customHeight="1" x14ac:dyDescent="0.45">
      <c r="A42" s="43"/>
      <c r="B42" s="43"/>
      <c r="C42" s="43"/>
      <c r="D42" s="79"/>
      <c r="E42" s="186"/>
      <c r="F42" s="43"/>
      <c r="G42" s="43"/>
      <c r="H42" s="43"/>
      <c r="I42" s="43"/>
      <c r="J42" s="43"/>
      <c r="K42" s="43"/>
      <c r="L42" s="43"/>
      <c r="M42" s="43"/>
      <c r="N42" s="43"/>
      <c r="O42" s="150"/>
      <c r="P42" s="150"/>
      <c r="Q42" s="150"/>
    </row>
    <row r="43" spans="1:17" s="142" customFormat="1" ht="18" customHeight="1" outlineLevel="1" x14ac:dyDescent="0.45">
      <c r="D43" s="79"/>
      <c r="E43" s="186"/>
      <c r="I43" s="157"/>
      <c r="J43" s="157"/>
      <c r="K43" s="157"/>
      <c r="L43" s="157"/>
      <c r="M43" s="157"/>
      <c r="N43" s="150"/>
      <c r="O43" s="150"/>
      <c r="P43" s="150"/>
      <c r="Q43" s="150"/>
    </row>
    <row r="44" spans="1:17" s="142" customFormat="1" ht="18" customHeight="1" outlineLevel="1" x14ac:dyDescent="0.45">
      <c r="A44" s="79"/>
      <c r="B44" s="53"/>
      <c r="C44" s="79"/>
      <c r="D44" s="79"/>
      <c r="E44" s="186"/>
      <c r="F44" s="156"/>
      <c r="G44" s="79"/>
      <c r="H44" s="79"/>
      <c r="I44" s="124"/>
      <c r="J44" s="124"/>
      <c r="K44" s="124"/>
      <c r="L44" s="124"/>
      <c r="M44" s="124"/>
      <c r="N44" s="150"/>
      <c r="O44" s="150"/>
      <c r="P44" s="150"/>
      <c r="Q44" s="150"/>
    </row>
    <row r="45" spans="1:17" s="142" customFormat="1" ht="18" customHeight="1" outlineLevel="1" x14ac:dyDescent="0.45">
      <c r="A45" s="79"/>
      <c r="B45" s="79"/>
      <c r="C45" s="53"/>
      <c r="D45" s="79"/>
      <c r="E45" s="189"/>
      <c r="F45" s="79"/>
      <c r="G45" s="79"/>
      <c r="H45" s="79"/>
      <c r="I45" s="124"/>
      <c r="J45" s="124"/>
      <c r="K45" s="124"/>
      <c r="L45" s="124"/>
      <c r="M45" s="124"/>
      <c r="N45" s="150"/>
      <c r="O45" s="146"/>
      <c r="P45" s="146"/>
      <c r="Q45" s="146"/>
    </row>
    <row r="46" spans="1:17" s="142" customFormat="1" ht="18" customHeight="1" outlineLevel="1" x14ac:dyDescent="0.45">
      <c r="A46" s="79"/>
      <c r="B46" s="79"/>
      <c r="C46" s="79"/>
      <c r="D46" s="53"/>
      <c r="E46" s="212"/>
      <c r="F46" s="156"/>
      <c r="G46" s="79"/>
      <c r="H46" s="79"/>
      <c r="I46" s="124"/>
      <c r="J46" s="124"/>
      <c r="K46" s="124"/>
      <c r="L46" s="124"/>
      <c r="M46" s="124"/>
      <c r="N46" s="150"/>
      <c r="O46" s="124"/>
      <c r="P46" s="124"/>
      <c r="Q46" s="124"/>
    </row>
    <row r="47" spans="1:17" s="142" customFormat="1" ht="18" customHeight="1" outlineLevel="1" x14ac:dyDescent="0.45">
      <c r="A47" s="79"/>
      <c r="B47" s="79"/>
      <c r="C47" s="79"/>
      <c r="D47" s="79"/>
      <c r="E47" s="79"/>
      <c r="F47" s="156"/>
      <c r="G47" s="79"/>
      <c r="H47" s="79"/>
      <c r="I47" s="124"/>
      <c r="J47" s="124"/>
      <c r="K47" s="124"/>
      <c r="L47" s="124"/>
      <c r="M47" s="124"/>
      <c r="N47" s="150"/>
      <c r="O47" s="146"/>
      <c r="P47" s="146"/>
      <c r="Q47" s="146"/>
    </row>
    <row r="48" spans="1:17" s="142" customFormat="1" ht="18" customHeight="1" outlineLevel="1" x14ac:dyDescent="0.45">
      <c r="A48" s="79"/>
      <c r="B48" s="79"/>
      <c r="C48" s="79"/>
      <c r="D48" s="53"/>
      <c r="E48" s="212"/>
      <c r="F48" s="156"/>
      <c r="G48" s="79"/>
      <c r="H48" s="79"/>
      <c r="I48" s="124"/>
      <c r="J48" s="124"/>
      <c r="K48" s="124"/>
      <c r="L48" s="124"/>
      <c r="M48" s="124"/>
      <c r="N48" s="150"/>
      <c r="O48" s="146"/>
      <c r="P48" s="146"/>
      <c r="Q48" s="146"/>
    </row>
    <row r="49" spans="1:17" s="142" customFormat="1" ht="18" customHeight="1" outlineLevel="1" x14ac:dyDescent="0.45">
      <c r="A49" s="79"/>
      <c r="B49" s="79"/>
      <c r="C49" s="79"/>
      <c r="D49" s="79"/>
      <c r="E49" s="79"/>
      <c r="F49" s="156"/>
      <c r="G49" s="79"/>
      <c r="H49" s="124"/>
      <c r="I49" s="124"/>
      <c r="J49" s="124"/>
      <c r="K49" s="124"/>
      <c r="L49" s="124"/>
      <c r="M49" s="146"/>
      <c r="N49" s="146"/>
      <c r="O49" s="146"/>
      <c r="P49" s="146"/>
      <c r="Q49" s="146"/>
    </row>
    <row r="50" spans="1:17" s="142" customFormat="1" ht="18" customHeight="1" outlineLevel="1" x14ac:dyDescent="0.45">
      <c r="A50" s="79"/>
      <c r="B50" s="79"/>
      <c r="C50" s="79"/>
      <c r="D50" s="79"/>
      <c r="E50" s="79"/>
      <c r="F50" s="156"/>
      <c r="G50" s="79"/>
      <c r="H50" s="124"/>
      <c r="I50" s="124"/>
      <c r="J50" s="124"/>
      <c r="K50" s="124"/>
      <c r="L50" s="124"/>
      <c r="M50" s="146"/>
      <c r="N50" s="146"/>
      <c r="O50" s="146"/>
      <c r="P50" s="146"/>
      <c r="Q50" s="146"/>
    </row>
    <row r="51" spans="1:17" s="142" customFormat="1" ht="18" customHeight="1" outlineLevel="1" x14ac:dyDescent="0.45">
      <c r="A51" s="79"/>
      <c r="B51" s="79"/>
      <c r="C51" s="53"/>
      <c r="D51" s="79"/>
      <c r="E51" s="79"/>
      <c r="F51" s="156"/>
      <c r="G51" s="79"/>
      <c r="H51" s="124"/>
      <c r="I51" s="124"/>
      <c r="J51" s="124"/>
      <c r="K51" s="124"/>
      <c r="L51" s="124"/>
      <c r="M51" s="146"/>
      <c r="N51" s="146"/>
      <c r="O51" s="146"/>
      <c r="P51" s="146"/>
      <c r="Q51" s="146"/>
    </row>
    <row r="52" spans="1:17" s="142" customFormat="1" ht="18" customHeight="1" outlineLevel="1" x14ac:dyDescent="0.45">
      <c r="A52" s="79"/>
      <c r="B52" s="79"/>
      <c r="C52" s="79"/>
      <c r="D52" s="79"/>
      <c r="E52" s="79"/>
      <c r="F52" s="156"/>
      <c r="G52" s="79"/>
      <c r="H52" s="124"/>
      <c r="I52" s="124"/>
      <c r="J52" s="124"/>
      <c r="K52" s="124"/>
      <c r="L52" s="124"/>
      <c r="M52" s="146"/>
      <c r="N52" s="146"/>
      <c r="O52" s="146"/>
      <c r="P52" s="146"/>
      <c r="Q52" s="146"/>
    </row>
    <row r="53" spans="1:17" s="142" customFormat="1" ht="18" customHeight="1" outlineLevel="1" x14ac:dyDescent="0.45">
      <c r="A53" s="79"/>
      <c r="B53" s="79"/>
      <c r="C53" s="79"/>
      <c r="D53" s="211"/>
      <c r="E53" s="146"/>
      <c r="F53" s="146"/>
      <c r="G53" s="146"/>
      <c r="H53" s="146"/>
      <c r="I53" s="146"/>
      <c r="J53" s="146"/>
      <c r="K53" s="124"/>
      <c r="L53" s="124"/>
      <c r="M53" s="124"/>
      <c r="N53" s="124"/>
      <c r="O53" s="124"/>
      <c r="P53" s="124"/>
      <c r="Q53" s="124"/>
    </row>
    <row r="54" spans="1:17" s="142" customFormat="1" ht="18" customHeight="1" outlineLevel="1" x14ac:dyDescent="0.45">
      <c r="A54" s="79"/>
      <c r="B54" s="79"/>
      <c r="C54" s="79"/>
      <c r="D54" s="79"/>
      <c r="E54" s="79"/>
      <c r="F54" s="156"/>
      <c r="G54" s="79"/>
      <c r="H54" s="124"/>
      <c r="I54" s="124"/>
      <c r="J54" s="124"/>
      <c r="K54" s="124"/>
      <c r="L54" s="124"/>
      <c r="M54" s="146"/>
      <c r="N54" s="146"/>
      <c r="O54" s="146"/>
      <c r="P54" s="146"/>
      <c r="Q54" s="146"/>
    </row>
    <row r="55" spans="1:17" s="142" customFormat="1" ht="18" customHeight="1" outlineLevel="1" x14ac:dyDescent="0.45">
      <c r="A55" s="79"/>
      <c r="B55" s="79"/>
      <c r="C55" s="79"/>
      <c r="D55" s="79"/>
      <c r="E55" s="79"/>
      <c r="F55" s="156"/>
      <c r="G55" s="79"/>
      <c r="H55" s="124"/>
      <c r="I55" s="124"/>
      <c r="J55" s="124"/>
      <c r="K55" s="124"/>
      <c r="L55" s="124"/>
      <c r="M55" s="146"/>
      <c r="N55" s="146"/>
      <c r="O55" s="146"/>
      <c r="P55" s="146"/>
      <c r="Q55" s="146"/>
    </row>
    <row r="56" spans="1:17" s="142" customFormat="1" ht="18.75" customHeight="1" outlineLevel="1" x14ac:dyDescent="0.45">
      <c r="A56" s="79"/>
      <c r="B56" s="79"/>
      <c r="C56" s="79"/>
      <c r="D56" s="53"/>
      <c r="E56" s="53"/>
      <c r="F56" s="155"/>
      <c r="G56" s="53"/>
      <c r="H56" s="149"/>
      <c r="I56" s="149"/>
      <c r="J56" s="149"/>
      <c r="K56" s="149"/>
      <c r="L56" s="149"/>
      <c r="M56" s="149"/>
      <c r="N56" s="149"/>
      <c r="O56" s="149"/>
      <c r="P56" s="149"/>
      <c r="Q56" s="149"/>
    </row>
    <row r="57" spans="1:17" s="142" customFormat="1" ht="18.75" customHeight="1" outlineLevel="1" x14ac:dyDescent="0.45">
      <c r="A57" s="79"/>
      <c r="B57" s="79"/>
      <c r="C57" s="79"/>
      <c r="D57" s="79"/>
      <c r="E57" s="79"/>
      <c r="G57" s="79"/>
      <c r="H57" s="80"/>
      <c r="I57" s="80"/>
      <c r="J57" s="80"/>
      <c r="K57" s="80"/>
      <c r="L57" s="80"/>
      <c r="M57" s="146"/>
      <c r="N57" s="146"/>
      <c r="O57" s="146"/>
      <c r="P57" s="146"/>
      <c r="Q57" s="146"/>
    </row>
    <row r="58" spans="1:17" s="142" customFormat="1" ht="18" customHeight="1" outlineLevel="1" x14ac:dyDescent="0.45">
      <c r="A58" s="79"/>
      <c r="B58" s="53"/>
      <c r="C58" s="79"/>
      <c r="D58" s="79"/>
      <c r="E58" s="79"/>
      <c r="F58" s="79"/>
      <c r="G58" s="79"/>
      <c r="H58" s="80"/>
      <c r="I58" s="80"/>
      <c r="J58" s="80"/>
      <c r="K58" s="80"/>
      <c r="L58" s="80"/>
      <c r="M58" s="146"/>
      <c r="N58" s="146"/>
      <c r="O58" s="146"/>
      <c r="P58" s="146"/>
      <c r="Q58" s="146"/>
    </row>
    <row r="59" spans="1:17" s="142" customFormat="1" ht="18" customHeight="1" outlineLevel="1" x14ac:dyDescent="0.45">
      <c r="A59" s="79"/>
      <c r="B59" s="79"/>
      <c r="C59" s="53"/>
      <c r="D59" s="79"/>
      <c r="E59" s="79"/>
      <c r="F59" s="79"/>
      <c r="G59" s="79"/>
      <c r="H59" s="80"/>
      <c r="I59" s="80"/>
      <c r="J59" s="80"/>
      <c r="K59" s="80"/>
      <c r="L59" s="80"/>
      <c r="M59" s="146"/>
      <c r="N59" s="146"/>
      <c r="O59" s="146"/>
      <c r="P59" s="146"/>
      <c r="Q59" s="146"/>
    </row>
    <row r="60" spans="1:17" s="142" customFormat="1" ht="18" customHeight="1" outlineLevel="1" x14ac:dyDescent="0.45">
      <c r="A60" s="79"/>
      <c r="B60" s="79"/>
      <c r="C60" s="79"/>
      <c r="D60" s="79"/>
      <c r="E60" s="79"/>
      <c r="F60" s="156"/>
      <c r="G60" s="79"/>
      <c r="H60" s="124"/>
      <c r="I60" s="124"/>
      <c r="J60" s="124"/>
      <c r="K60" s="124"/>
      <c r="L60" s="124"/>
      <c r="M60" s="146"/>
      <c r="N60" s="146"/>
      <c r="O60" s="146"/>
      <c r="P60" s="146"/>
      <c r="Q60" s="146"/>
    </row>
    <row r="61" spans="1:17" s="142" customFormat="1" ht="18" customHeight="1" outlineLevel="1" x14ac:dyDescent="0.45">
      <c r="A61" s="79"/>
      <c r="B61" s="79"/>
      <c r="C61" s="79"/>
      <c r="D61" s="79"/>
      <c r="E61" s="79"/>
      <c r="F61" s="156"/>
      <c r="G61" s="79"/>
      <c r="H61" s="124"/>
      <c r="I61" s="124"/>
      <c r="J61" s="124"/>
      <c r="K61" s="124"/>
      <c r="L61" s="124"/>
      <c r="M61" s="146"/>
      <c r="N61" s="146"/>
      <c r="O61" s="146"/>
      <c r="P61" s="146"/>
      <c r="Q61" s="146"/>
    </row>
    <row r="62" spans="1:17" s="142" customFormat="1" ht="18" customHeight="1" outlineLevel="1" x14ac:dyDescent="0.45">
      <c r="A62" s="79"/>
      <c r="B62" s="79"/>
      <c r="C62" s="79"/>
      <c r="D62" s="79"/>
      <c r="E62" s="79"/>
      <c r="F62" s="156"/>
      <c r="G62" s="79"/>
      <c r="H62" s="124"/>
      <c r="I62" s="124"/>
      <c r="J62" s="124"/>
      <c r="K62" s="124"/>
      <c r="L62" s="124"/>
      <c r="M62" s="146"/>
      <c r="N62" s="146"/>
      <c r="O62" s="146"/>
      <c r="P62" s="146"/>
      <c r="Q62" s="146"/>
    </row>
    <row r="63" spans="1:17" s="142" customFormat="1" ht="18" customHeight="1" outlineLevel="1" x14ac:dyDescent="0.45">
      <c r="A63" s="79"/>
      <c r="B63" s="79"/>
      <c r="C63" s="79"/>
      <c r="D63" s="79"/>
      <c r="E63" s="79"/>
      <c r="F63" s="156"/>
      <c r="G63" s="79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 spans="1:17" s="142" customFormat="1" ht="18" customHeight="1" outlineLevel="1" x14ac:dyDescent="0.45">
      <c r="A64" s="79"/>
      <c r="B64" s="79"/>
      <c r="C64" s="79"/>
      <c r="D64" s="79"/>
      <c r="E64" s="79"/>
      <c r="F64" s="156"/>
      <c r="G64" s="79"/>
      <c r="H64" s="124"/>
      <c r="I64" s="124"/>
      <c r="J64" s="124"/>
      <c r="K64" s="124"/>
      <c r="L64" s="124"/>
      <c r="M64" s="146"/>
      <c r="N64" s="146"/>
      <c r="O64" s="146"/>
      <c r="P64" s="146"/>
      <c r="Q64" s="146"/>
    </row>
    <row r="65" spans="1:17" s="142" customFormat="1" ht="18" customHeight="1" outlineLevel="1" x14ac:dyDescent="0.45">
      <c r="A65" s="79"/>
      <c r="B65" s="79"/>
      <c r="C65" s="79"/>
      <c r="D65" s="53"/>
      <c r="E65" s="53"/>
      <c r="F65" s="155"/>
      <c r="G65" s="53"/>
      <c r="H65" s="149"/>
      <c r="I65" s="149"/>
      <c r="J65" s="149"/>
      <c r="K65" s="149"/>
      <c r="L65" s="149"/>
      <c r="M65" s="149"/>
      <c r="N65" s="149"/>
      <c r="O65" s="149"/>
      <c r="P65" s="149"/>
      <c r="Q65" s="149"/>
    </row>
    <row r="66" spans="1:17" s="142" customFormat="1" ht="18" customHeight="1" outlineLevel="1" x14ac:dyDescent="0.45">
      <c r="A66" s="79"/>
      <c r="B66" s="79"/>
      <c r="C66" s="53"/>
      <c r="D66" s="79"/>
      <c r="E66" s="79"/>
      <c r="F66" s="156"/>
      <c r="G66" s="79"/>
      <c r="H66" s="80"/>
      <c r="I66" s="80"/>
      <c r="J66" s="80"/>
      <c r="K66" s="80"/>
      <c r="L66" s="80"/>
      <c r="M66" s="146"/>
      <c r="N66" s="146"/>
      <c r="O66" s="146"/>
      <c r="P66" s="146"/>
      <c r="Q66" s="146"/>
    </row>
    <row r="67" spans="1:17" s="142" customFormat="1" ht="18" customHeight="1" outlineLevel="1" x14ac:dyDescent="0.45">
      <c r="A67" s="79"/>
      <c r="B67" s="79"/>
      <c r="C67" s="79"/>
      <c r="D67" s="79"/>
      <c r="E67" s="79"/>
      <c r="F67" s="156"/>
      <c r="G67" s="79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 spans="1:17" s="142" customFormat="1" ht="18" customHeight="1" outlineLevel="1" x14ac:dyDescent="0.45">
      <c r="A68" s="79"/>
      <c r="B68" s="79"/>
      <c r="C68" s="79"/>
      <c r="D68" s="79"/>
      <c r="E68" s="79"/>
      <c r="F68" s="156"/>
      <c r="G68" s="79"/>
      <c r="H68" s="124"/>
      <c r="I68" s="124"/>
      <c r="J68" s="124"/>
      <c r="K68" s="124"/>
      <c r="L68" s="124"/>
      <c r="M68" s="146"/>
      <c r="N68" s="146"/>
      <c r="O68" s="146"/>
      <c r="P68" s="146"/>
      <c r="Q68" s="146"/>
    </row>
    <row r="69" spans="1:17" s="142" customFormat="1" ht="18" customHeight="1" outlineLevel="1" x14ac:dyDescent="0.45">
      <c r="A69" s="79"/>
      <c r="B69" s="79"/>
      <c r="C69" s="79"/>
      <c r="D69" s="53"/>
      <c r="E69" s="53"/>
      <c r="F69" s="155"/>
      <c r="G69" s="53"/>
      <c r="H69" s="149"/>
      <c r="I69" s="149"/>
      <c r="J69" s="149"/>
      <c r="K69" s="149"/>
      <c r="L69" s="149"/>
      <c r="M69" s="149"/>
      <c r="N69" s="149"/>
      <c r="O69" s="149"/>
      <c r="P69" s="149"/>
      <c r="Q69" s="149"/>
    </row>
    <row r="70" spans="1:17" s="142" customFormat="1" ht="18" customHeight="1" outlineLevel="1" x14ac:dyDescent="0.45">
      <c r="A70" s="79"/>
      <c r="B70" s="79"/>
      <c r="C70" s="79"/>
      <c r="D70" s="79"/>
      <c r="E70" s="79"/>
      <c r="F70" s="156"/>
      <c r="G70" s="79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 spans="1:17" s="142" customFormat="1" ht="18.75" customHeight="1" outlineLevel="1" x14ac:dyDescent="0.45">
      <c r="A71" s="79"/>
      <c r="B71" s="79"/>
      <c r="C71" s="79"/>
      <c r="D71" s="53"/>
      <c r="E71" s="53"/>
      <c r="F71" s="155"/>
      <c r="G71" s="53"/>
      <c r="H71" s="149"/>
      <c r="I71" s="149"/>
      <c r="J71" s="149"/>
      <c r="K71" s="149"/>
      <c r="L71" s="149"/>
      <c r="M71" s="149"/>
      <c r="N71" s="149"/>
      <c r="O71" s="149"/>
      <c r="P71" s="149"/>
      <c r="Q71" s="149"/>
    </row>
    <row r="72" spans="1:17" s="142" customFormat="1" ht="18.75" customHeight="1" outlineLevel="1" x14ac:dyDescent="0.45">
      <c r="A72" s="79"/>
      <c r="B72" s="79"/>
      <c r="C72" s="79"/>
      <c r="D72" s="79"/>
      <c r="E72" s="79"/>
      <c r="F72" s="79"/>
      <c r="G72" s="79"/>
      <c r="H72" s="124"/>
      <c r="I72" s="124"/>
      <c r="J72" s="124"/>
      <c r="K72" s="124"/>
      <c r="L72" s="124"/>
      <c r="M72" s="146"/>
      <c r="N72" s="146"/>
      <c r="O72" s="146"/>
      <c r="P72" s="146"/>
      <c r="Q72" s="146"/>
    </row>
    <row r="73" spans="1:17" s="142" customFormat="1" ht="18" customHeight="1" outlineLevel="1" x14ac:dyDescent="0.45">
      <c r="A73" s="79"/>
      <c r="B73" s="79"/>
      <c r="C73" s="79"/>
      <c r="D73" s="79"/>
      <c r="E73" s="79"/>
      <c r="F73" s="79"/>
      <c r="G73" s="79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 spans="1:17" s="142" customFormat="1" ht="18" customHeight="1" outlineLevel="1" x14ac:dyDescent="0.45">
      <c r="A74" s="79"/>
      <c r="B74" s="79"/>
      <c r="C74" s="79"/>
      <c r="D74" s="79"/>
      <c r="E74" s="79"/>
      <c r="F74" s="79"/>
      <c r="G74" s="79"/>
      <c r="H74" s="124"/>
      <c r="I74" s="124"/>
      <c r="J74" s="124"/>
      <c r="K74" s="124"/>
      <c r="L74" s="124"/>
      <c r="M74" s="150"/>
      <c r="N74" s="150"/>
      <c r="O74" s="150"/>
      <c r="P74" s="150"/>
      <c r="Q74" s="150"/>
    </row>
    <row r="75" spans="1:17" s="142" customFormat="1" ht="18" customHeight="1" x14ac:dyDescent="0.45">
      <c r="A75" s="79"/>
      <c r="B75" s="79"/>
      <c r="C75" s="79"/>
      <c r="D75" s="79"/>
      <c r="E75" s="79"/>
      <c r="F75" s="79"/>
      <c r="G75" s="79"/>
      <c r="H75" s="124"/>
      <c r="I75" s="124"/>
      <c r="J75" s="124"/>
      <c r="K75" s="124"/>
      <c r="L75" s="124"/>
      <c r="M75" s="150"/>
      <c r="N75" s="150"/>
      <c r="O75" s="150"/>
      <c r="P75" s="150"/>
      <c r="Q75" s="150"/>
    </row>
    <row r="76" spans="1:17" s="142" customFormat="1" ht="18" customHeight="1" x14ac:dyDescent="0.45">
      <c r="A76" s="79"/>
      <c r="B76" s="79"/>
      <c r="C76" s="79"/>
      <c r="D76" s="79"/>
      <c r="E76" s="79"/>
      <c r="F76" s="79"/>
      <c r="G76" s="79"/>
      <c r="H76" s="124"/>
      <c r="I76" s="124"/>
      <c r="J76" s="124"/>
      <c r="K76" s="124"/>
      <c r="L76" s="124"/>
      <c r="M76" s="150"/>
      <c r="N76" s="150"/>
      <c r="O76" s="150"/>
      <c r="P76" s="150"/>
      <c r="Q76" s="150"/>
    </row>
    <row r="77" spans="1:17" s="142" customFormat="1" ht="20.25" customHeight="1" x14ac:dyDescent="0.4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s="142" customFormat="1" ht="18" customHeight="1" x14ac:dyDescent="0.45">
      <c r="A78" s="79"/>
      <c r="B78" s="79"/>
      <c r="C78" s="79"/>
      <c r="D78" s="79"/>
      <c r="E78" s="79"/>
      <c r="F78" s="79"/>
      <c r="G78" s="79"/>
      <c r="H78" s="124"/>
      <c r="I78" s="124"/>
      <c r="J78" s="124"/>
      <c r="K78" s="124"/>
      <c r="L78" s="124"/>
      <c r="M78" s="150"/>
      <c r="N78" s="150"/>
      <c r="O78" s="150"/>
      <c r="P78" s="150"/>
      <c r="Q78" s="150"/>
    </row>
    <row r="79" spans="1:17" s="142" customFormat="1" ht="18" customHeight="1" outlineLevel="1" x14ac:dyDescent="0.45">
      <c r="A79" s="79"/>
      <c r="B79" s="79"/>
      <c r="C79" s="79"/>
      <c r="D79" s="79"/>
      <c r="E79" s="79"/>
      <c r="F79" s="79"/>
      <c r="G79" s="79"/>
      <c r="H79" s="124"/>
      <c r="I79" s="124"/>
      <c r="J79" s="124"/>
      <c r="K79" s="124"/>
      <c r="L79" s="124"/>
      <c r="M79" s="150"/>
      <c r="N79" s="150"/>
      <c r="O79" s="150"/>
      <c r="P79" s="150"/>
      <c r="Q79" s="150"/>
    </row>
    <row r="80" spans="1:17" s="142" customFormat="1" ht="18" customHeight="1" outlineLevel="1" x14ac:dyDescent="0.45">
      <c r="A80" s="79"/>
      <c r="B80" s="79"/>
      <c r="C80" s="79"/>
      <c r="D80" s="79"/>
      <c r="E80" s="79"/>
      <c r="F80" s="156"/>
      <c r="G80" s="79"/>
      <c r="H80" s="124"/>
      <c r="I80" s="124"/>
      <c r="J80" s="124"/>
      <c r="K80" s="124"/>
      <c r="L80" s="124"/>
      <c r="M80" s="146"/>
      <c r="N80" s="146"/>
      <c r="O80" s="146"/>
      <c r="P80" s="146"/>
      <c r="Q80" s="146"/>
    </row>
    <row r="81" spans="1:17" s="142" customFormat="1" ht="18" customHeight="1" outlineLevel="1" x14ac:dyDescent="0.45">
      <c r="A81" s="79"/>
      <c r="B81" s="79"/>
      <c r="C81" s="79"/>
      <c r="D81" s="79"/>
      <c r="E81" s="79"/>
      <c r="F81" s="156"/>
      <c r="G81" s="79"/>
      <c r="H81" s="124"/>
      <c r="I81" s="124"/>
      <c r="J81" s="124"/>
      <c r="K81" s="124"/>
      <c r="L81" s="124"/>
      <c r="M81" s="146"/>
      <c r="N81" s="146"/>
      <c r="O81" s="146"/>
      <c r="P81" s="146"/>
      <c r="Q81" s="146"/>
    </row>
    <row r="82" spans="1:17" s="142" customFormat="1" ht="18" customHeight="1" outlineLevel="1" x14ac:dyDescent="0.45">
      <c r="A82" s="79"/>
      <c r="B82" s="79"/>
      <c r="C82" s="79"/>
      <c r="D82" s="79"/>
      <c r="E82" s="79"/>
      <c r="F82" s="156"/>
      <c r="G82" s="79"/>
      <c r="H82" s="124"/>
      <c r="I82" s="124"/>
      <c r="J82" s="124"/>
      <c r="K82" s="124"/>
      <c r="L82" s="124"/>
      <c r="M82" s="146"/>
      <c r="N82" s="146"/>
      <c r="O82" s="146"/>
      <c r="P82" s="146"/>
      <c r="Q82" s="146"/>
    </row>
    <row r="83" spans="1:17" s="142" customFormat="1" ht="18" customHeight="1" outlineLevel="1" x14ac:dyDescent="0.45">
      <c r="A83" s="79"/>
      <c r="B83" s="79"/>
      <c r="C83" s="79"/>
      <c r="D83" s="79"/>
      <c r="E83" s="79"/>
      <c r="F83" s="156"/>
      <c r="G83" s="79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s="142" customFormat="1" ht="18" customHeight="1" outlineLevel="1" x14ac:dyDescent="0.45">
      <c r="A84" s="79"/>
      <c r="B84" s="79"/>
      <c r="C84" s="79"/>
      <c r="D84" s="25"/>
      <c r="E84" s="25"/>
      <c r="F84" s="158"/>
      <c r="G84" s="25"/>
      <c r="H84" s="159"/>
      <c r="I84" s="159"/>
      <c r="J84" s="159"/>
      <c r="K84" s="159"/>
      <c r="L84" s="159"/>
      <c r="M84" s="159"/>
      <c r="N84" s="159"/>
      <c r="O84" s="159"/>
      <c r="P84" s="159"/>
      <c r="Q84" s="159"/>
    </row>
    <row r="85" spans="1:17" s="142" customFormat="1" ht="18" customHeight="1" outlineLevel="1" x14ac:dyDescent="0.45">
      <c r="A85" s="79"/>
      <c r="B85" s="79"/>
      <c r="C85" s="79"/>
      <c r="D85" s="79"/>
      <c r="E85" s="79"/>
      <c r="F85" s="156"/>
      <c r="G85" s="79"/>
      <c r="H85" s="124"/>
      <c r="I85" s="124"/>
      <c r="J85" s="124"/>
      <c r="K85" s="124"/>
      <c r="L85" s="124"/>
      <c r="M85" s="146"/>
      <c r="N85" s="146"/>
      <c r="O85" s="146"/>
      <c r="P85" s="146"/>
      <c r="Q85" s="146"/>
    </row>
    <row r="86" spans="1:17" s="142" customFormat="1" ht="18" customHeight="1" outlineLevel="1" x14ac:dyDescent="0.45">
      <c r="A86" s="79"/>
      <c r="B86" s="79"/>
      <c r="C86" s="79"/>
      <c r="D86" s="79"/>
      <c r="E86" s="79"/>
      <c r="F86" s="156"/>
      <c r="G86" s="79"/>
      <c r="H86" s="124"/>
      <c r="I86" s="124"/>
      <c r="J86" s="124"/>
      <c r="K86" s="124"/>
      <c r="L86" s="124"/>
      <c r="M86" s="146"/>
      <c r="N86" s="146"/>
      <c r="O86" s="146"/>
      <c r="P86" s="146"/>
      <c r="Q86" s="146"/>
    </row>
    <row r="87" spans="1:17" s="142" customFormat="1" ht="18" customHeight="1" outlineLevel="1" x14ac:dyDescent="0.45">
      <c r="A87" s="79"/>
      <c r="B87" s="79"/>
      <c r="C87" s="79"/>
      <c r="D87" s="79"/>
      <c r="E87" s="79"/>
      <c r="F87" s="156"/>
      <c r="G87" s="79"/>
      <c r="H87" s="124"/>
      <c r="I87" s="124"/>
      <c r="J87" s="124"/>
      <c r="K87" s="124"/>
      <c r="L87" s="124"/>
      <c r="M87" s="146"/>
      <c r="N87" s="146"/>
      <c r="O87" s="146"/>
      <c r="P87" s="146"/>
      <c r="Q87" s="146"/>
    </row>
    <row r="88" spans="1:17" s="142" customFormat="1" ht="18" customHeight="1" outlineLevel="1" x14ac:dyDescent="0.45">
      <c r="A88" s="79"/>
      <c r="B88" s="79"/>
      <c r="C88" s="79"/>
      <c r="D88" s="79"/>
      <c r="E88" s="79"/>
      <c r="F88" s="156"/>
      <c r="G88" s="79"/>
      <c r="H88" s="124"/>
      <c r="I88" s="124"/>
      <c r="J88" s="124"/>
      <c r="K88" s="124"/>
      <c r="L88" s="124"/>
      <c r="M88" s="146"/>
      <c r="N88" s="146"/>
      <c r="O88" s="146"/>
      <c r="P88" s="146"/>
      <c r="Q88" s="146"/>
    </row>
    <row r="89" spans="1:17" s="142" customFormat="1" ht="18" customHeight="1" outlineLevel="1" x14ac:dyDescent="0.45">
      <c r="A89" s="79"/>
      <c r="B89" s="79"/>
      <c r="C89" s="79"/>
      <c r="D89" s="79"/>
      <c r="E89" s="79"/>
      <c r="F89" s="156"/>
      <c r="G89" s="79"/>
      <c r="H89" s="124"/>
      <c r="I89" s="124"/>
      <c r="J89" s="124"/>
      <c r="K89" s="124"/>
      <c r="L89" s="124"/>
      <c r="M89" s="146"/>
      <c r="N89" s="146"/>
      <c r="O89" s="146"/>
      <c r="P89" s="146"/>
      <c r="Q89" s="146"/>
    </row>
    <row r="90" spans="1:17" s="142" customFormat="1" ht="18" customHeight="1" outlineLevel="1" x14ac:dyDescent="0.45">
      <c r="A90" s="79"/>
      <c r="B90" s="79"/>
      <c r="C90" s="79"/>
      <c r="D90" s="123"/>
      <c r="E90" s="79"/>
      <c r="F90" s="156"/>
      <c r="G90" s="79"/>
      <c r="H90" s="124"/>
      <c r="I90" s="124"/>
      <c r="J90" s="124"/>
      <c r="K90" s="124"/>
      <c r="L90" s="124"/>
      <c r="M90" s="146"/>
      <c r="N90" s="146"/>
      <c r="O90" s="146"/>
      <c r="P90" s="146"/>
      <c r="Q90" s="146"/>
    </row>
    <row r="91" spans="1:17" s="142" customFormat="1" ht="18" customHeight="1" outlineLevel="1" x14ac:dyDescent="0.45">
      <c r="A91" s="79"/>
      <c r="B91" s="79"/>
      <c r="C91" s="79"/>
      <c r="D91" s="123"/>
      <c r="E91" s="79"/>
      <c r="F91" s="156"/>
      <c r="G91" s="79"/>
      <c r="H91" s="124"/>
      <c r="I91" s="124"/>
      <c r="J91" s="124"/>
      <c r="K91" s="124"/>
      <c r="L91" s="124"/>
      <c r="M91" s="146"/>
      <c r="N91" s="146"/>
      <c r="O91" s="146"/>
      <c r="P91" s="146"/>
      <c r="Q91" s="146"/>
    </row>
    <row r="92" spans="1:17" s="142" customFormat="1" ht="18" customHeight="1" outlineLevel="1" x14ac:dyDescent="0.45">
      <c r="A92" s="79"/>
      <c r="B92" s="79"/>
      <c r="C92" s="79"/>
      <c r="D92" s="123"/>
      <c r="E92" s="79"/>
      <c r="F92" s="156"/>
      <c r="G92" s="79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 spans="1:17" s="142" customFormat="1" ht="18" customHeight="1" outlineLevel="1" x14ac:dyDescent="0.45">
      <c r="A93" s="79"/>
      <c r="B93" s="79"/>
      <c r="C93" s="79"/>
      <c r="D93" s="25"/>
      <c r="E93" s="25"/>
      <c r="F93" s="158"/>
      <c r="G93" s="25"/>
      <c r="H93" s="159"/>
      <c r="I93" s="159"/>
      <c r="J93" s="159"/>
      <c r="K93" s="159"/>
      <c r="L93" s="159"/>
      <c r="M93" s="159"/>
      <c r="N93" s="159"/>
      <c r="O93" s="159"/>
      <c r="P93" s="159"/>
      <c r="Q93" s="159"/>
    </row>
    <row r="94" spans="1:17" s="142" customFormat="1" ht="18" customHeight="1" outlineLevel="1" x14ac:dyDescent="0.45">
      <c r="A94" s="79"/>
      <c r="B94" s="79"/>
      <c r="C94" s="79"/>
      <c r="D94" s="79"/>
      <c r="E94" s="79"/>
      <c r="F94" s="79"/>
      <c r="G94" s="79"/>
      <c r="H94" s="124"/>
      <c r="I94" s="124"/>
      <c r="J94" s="124"/>
      <c r="K94" s="124"/>
      <c r="L94" s="124"/>
      <c r="M94" s="146"/>
      <c r="N94" s="146"/>
      <c r="O94" s="146"/>
      <c r="P94" s="146"/>
      <c r="Q94" s="146"/>
    </row>
    <row r="95" spans="1:17" s="142" customFormat="1" ht="18" customHeight="1" outlineLevel="1" x14ac:dyDescent="0.45">
      <c r="A95" s="79"/>
      <c r="B95" s="79"/>
      <c r="C95" s="79"/>
      <c r="D95" s="79"/>
      <c r="E95" s="79"/>
      <c r="F95" s="79"/>
      <c r="G95" s="79"/>
      <c r="H95" s="124"/>
      <c r="I95" s="124"/>
      <c r="J95" s="124"/>
      <c r="K95" s="124"/>
      <c r="L95" s="124"/>
      <c r="M95" s="146"/>
      <c r="N95" s="146"/>
      <c r="O95" s="146"/>
      <c r="P95" s="146"/>
      <c r="Q95" s="146"/>
    </row>
    <row r="96" spans="1:17" s="142" customFormat="1" ht="18" customHeight="1" outlineLevel="1" x14ac:dyDescent="0.45">
      <c r="A96" s="79"/>
      <c r="B96" s="79"/>
      <c r="C96" s="79"/>
      <c r="D96" s="79"/>
      <c r="E96" s="79"/>
      <c r="F96" s="156"/>
      <c r="G96" s="79"/>
      <c r="H96" s="124"/>
      <c r="I96" s="124"/>
      <c r="J96" s="124"/>
      <c r="K96" s="124"/>
      <c r="L96" s="124"/>
      <c r="M96" s="146"/>
      <c r="N96" s="146"/>
      <c r="O96" s="146"/>
      <c r="P96" s="146"/>
      <c r="Q96" s="146"/>
    </row>
    <row r="97" spans="1:17" s="142" customFormat="1" ht="18" customHeight="1" outlineLevel="1" x14ac:dyDescent="0.45">
      <c r="A97" s="79"/>
      <c r="B97" s="79"/>
      <c r="C97" s="79"/>
      <c r="D97" s="79"/>
      <c r="E97" s="79"/>
      <c r="F97" s="156"/>
      <c r="G97" s="79"/>
      <c r="H97" s="124"/>
      <c r="I97" s="124"/>
      <c r="J97" s="124"/>
      <c r="K97" s="124"/>
      <c r="L97" s="124"/>
      <c r="M97" s="146"/>
      <c r="N97" s="146"/>
      <c r="O97" s="146"/>
      <c r="P97" s="146"/>
      <c r="Q97" s="146"/>
    </row>
    <row r="98" spans="1:17" s="142" customFormat="1" ht="18" customHeight="1" outlineLevel="1" x14ac:dyDescent="0.45">
      <c r="A98" s="79"/>
      <c r="B98" s="79"/>
      <c r="C98" s="79"/>
      <c r="D98" s="79"/>
      <c r="E98" s="79"/>
      <c r="F98" s="156"/>
      <c r="G98" s="79"/>
      <c r="H98" s="124"/>
      <c r="I98" s="124"/>
      <c r="J98" s="124"/>
      <c r="K98" s="124"/>
      <c r="L98" s="124"/>
      <c r="M98" s="146"/>
      <c r="N98" s="146"/>
      <c r="O98" s="146"/>
      <c r="P98" s="146"/>
      <c r="Q98" s="146"/>
    </row>
    <row r="99" spans="1:17" s="142" customFormat="1" ht="18" customHeight="1" outlineLevel="1" x14ac:dyDescent="0.45">
      <c r="A99" s="79"/>
      <c r="B99" s="79"/>
      <c r="C99" s="79"/>
      <c r="D99" s="79"/>
      <c r="E99" s="79"/>
      <c r="F99" s="156"/>
      <c r="G99" s="79"/>
      <c r="H99" s="124"/>
      <c r="I99" s="124"/>
      <c r="J99" s="124"/>
      <c r="K99" s="124"/>
      <c r="L99" s="124"/>
      <c r="M99" s="146"/>
      <c r="N99" s="146"/>
      <c r="O99" s="146"/>
      <c r="P99" s="146"/>
      <c r="Q99" s="146"/>
    </row>
    <row r="100" spans="1:17" s="142" customFormat="1" ht="18" customHeight="1" outlineLevel="1" x14ac:dyDescent="0.45">
      <c r="A100" s="79"/>
      <c r="B100" s="79"/>
      <c r="C100" s="79"/>
      <c r="D100" s="25"/>
      <c r="E100" s="25"/>
      <c r="F100" s="158"/>
      <c r="G100" s="25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</row>
    <row r="101" spans="1:17" s="142" customFormat="1" ht="18" customHeight="1" outlineLevel="1" x14ac:dyDescent="0.45">
      <c r="A101" s="79"/>
      <c r="B101" s="79"/>
      <c r="C101" s="79"/>
      <c r="D101" s="79"/>
      <c r="E101" s="79"/>
      <c r="F101" s="79"/>
      <c r="G101" s="79"/>
      <c r="H101" s="124"/>
      <c r="I101" s="124"/>
      <c r="J101" s="124"/>
      <c r="K101" s="124"/>
      <c r="L101" s="124"/>
      <c r="M101" s="146"/>
      <c r="N101" s="146"/>
      <c r="O101" s="146"/>
      <c r="P101" s="146"/>
      <c r="Q101" s="146"/>
    </row>
    <row r="102" spans="1:17" s="142" customFormat="1" ht="18" customHeight="1" outlineLevel="1" x14ac:dyDescent="0.45">
      <c r="A102" s="79"/>
      <c r="B102" s="79"/>
      <c r="D102" s="79"/>
      <c r="E102" s="79"/>
      <c r="F102" s="156"/>
      <c r="G102" s="79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s="142" customFormat="1" ht="18" customHeight="1" outlineLevel="1" x14ac:dyDescent="0.45">
      <c r="A103" s="79"/>
      <c r="B103" s="79"/>
      <c r="C103" s="79"/>
      <c r="D103" s="79"/>
      <c r="E103" s="79"/>
      <c r="F103" s="156"/>
      <c r="G103" s="79"/>
      <c r="H103" s="124"/>
      <c r="I103" s="124"/>
      <c r="J103" s="124"/>
      <c r="K103" s="124"/>
      <c r="L103" s="124"/>
      <c r="M103" s="146"/>
      <c r="N103" s="146"/>
      <c r="O103" s="146"/>
      <c r="P103" s="146"/>
      <c r="Q103" s="146"/>
    </row>
    <row r="104" spans="1:17" s="142" customFormat="1" ht="18" customHeight="1" outlineLevel="1" x14ac:dyDescent="0.45">
      <c r="A104" s="79"/>
      <c r="B104" s="79"/>
      <c r="C104" s="79"/>
      <c r="D104" s="53"/>
      <c r="E104" s="53"/>
      <c r="F104" s="155"/>
      <c r="G104" s="53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</row>
    <row r="105" spans="1:17" s="142" customFormat="1" ht="18" customHeight="1" outlineLevel="1" x14ac:dyDescent="0.45">
      <c r="A105" s="79"/>
      <c r="B105" s="79"/>
      <c r="C105" s="79"/>
      <c r="D105" s="79"/>
      <c r="E105" s="79"/>
      <c r="F105" s="79"/>
      <c r="G105" s="79"/>
      <c r="H105" s="124"/>
      <c r="I105" s="124"/>
      <c r="J105" s="124"/>
      <c r="K105" s="124"/>
      <c r="L105" s="124"/>
    </row>
    <row r="106" spans="1:17" s="142" customFormat="1" ht="18" customHeight="1" x14ac:dyDescent="0.45">
      <c r="A106" s="79"/>
      <c r="B106" s="79"/>
      <c r="C106" s="79"/>
      <c r="D106" s="79"/>
      <c r="E106" s="79"/>
      <c r="F106" s="79"/>
      <c r="G106" s="79"/>
      <c r="H106" s="124"/>
      <c r="I106" s="124"/>
      <c r="J106" s="124"/>
      <c r="K106" s="124"/>
      <c r="L106" s="124"/>
    </row>
    <row r="107" spans="1:17" s="142" customFormat="1" ht="18" customHeight="1" x14ac:dyDescent="0.45">
      <c r="A107" s="79"/>
      <c r="B107" s="79"/>
      <c r="C107" s="79"/>
      <c r="D107" s="79"/>
      <c r="E107" s="79"/>
      <c r="F107" s="79"/>
      <c r="G107" s="79"/>
      <c r="H107" s="124"/>
      <c r="I107" s="124"/>
      <c r="J107" s="124"/>
      <c r="K107" s="124"/>
      <c r="L107" s="124"/>
    </row>
    <row r="108" spans="1:17" s="142" customFormat="1" ht="20.25" customHeight="1" x14ac:dyDescent="0.4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</row>
    <row r="109" spans="1:17" s="142" customFormat="1" ht="18" customHeight="1" x14ac:dyDescent="0.45">
      <c r="A109" s="79"/>
      <c r="B109" s="79"/>
      <c r="C109" s="79"/>
      <c r="D109" s="79"/>
      <c r="E109" s="79"/>
      <c r="F109" s="79"/>
      <c r="G109" s="79"/>
      <c r="H109" s="124"/>
      <c r="I109" s="124"/>
      <c r="J109" s="124"/>
      <c r="K109" s="124"/>
      <c r="L109" s="124"/>
    </row>
    <row r="110" spans="1:17" s="142" customFormat="1" ht="18" customHeight="1" x14ac:dyDescent="0.45">
      <c r="A110" s="79"/>
      <c r="B110" s="79"/>
      <c r="C110" s="53"/>
      <c r="D110" s="79"/>
      <c r="E110" s="79"/>
      <c r="F110" s="79"/>
      <c r="G110" s="79"/>
      <c r="H110" s="124"/>
      <c r="I110" s="124"/>
      <c r="J110" s="124"/>
      <c r="K110" s="124"/>
      <c r="L110" s="124"/>
    </row>
    <row r="111" spans="1:17" s="142" customFormat="1" ht="18" customHeight="1" x14ac:dyDescent="0.45">
      <c r="A111" s="79"/>
      <c r="B111" s="79"/>
      <c r="C111" s="79"/>
      <c r="D111" s="79"/>
      <c r="E111" s="79"/>
      <c r="F111" s="156"/>
      <c r="G111" s="79"/>
      <c r="H111" s="124"/>
      <c r="I111" s="124"/>
      <c r="J111" s="124"/>
      <c r="K111" s="124"/>
      <c r="L111" s="124"/>
      <c r="M111" s="146"/>
      <c r="N111" s="146"/>
      <c r="O111" s="146"/>
      <c r="P111" s="146"/>
      <c r="Q111" s="146"/>
    </row>
    <row r="112" spans="1:17" s="142" customFormat="1" ht="18" customHeight="1" x14ac:dyDescent="0.45">
      <c r="A112" s="79"/>
      <c r="B112" s="79"/>
      <c r="C112" s="79"/>
      <c r="D112" s="79"/>
      <c r="E112" s="79"/>
      <c r="F112" s="156"/>
      <c r="G112" s="79"/>
      <c r="H112" s="124"/>
      <c r="I112" s="124"/>
      <c r="J112" s="124"/>
      <c r="K112" s="124"/>
      <c r="L112" s="124"/>
      <c r="M112" s="146"/>
      <c r="N112" s="146"/>
      <c r="O112" s="146"/>
      <c r="P112" s="146"/>
      <c r="Q112" s="146"/>
    </row>
    <row r="113" spans="1:17" s="142" customFormat="1" ht="18" customHeight="1" x14ac:dyDescent="0.45">
      <c r="A113" s="79"/>
      <c r="B113" s="79"/>
      <c r="C113" s="79"/>
      <c r="D113" s="79"/>
      <c r="E113" s="79"/>
      <c r="F113" s="156"/>
      <c r="G113" s="79"/>
      <c r="H113" s="124"/>
      <c r="I113" s="124"/>
      <c r="J113" s="124"/>
      <c r="K113" s="124"/>
      <c r="L113" s="124"/>
      <c r="M113" s="146"/>
      <c r="N113" s="146"/>
      <c r="O113" s="146"/>
      <c r="P113" s="146"/>
      <c r="Q113" s="146"/>
    </row>
    <row r="114" spans="1:17" s="142" customFormat="1" ht="18" customHeight="1" x14ac:dyDescent="0.45">
      <c r="A114" s="79"/>
      <c r="B114" s="79"/>
      <c r="C114" s="79"/>
      <c r="D114" s="79"/>
      <c r="E114" s="79"/>
      <c r="F114" s="156"/>
      <c r="G114" s="79"/>
      <c r="H114" s="124"/>
      <c r="I114" s="124"/>
      <c r="J114" s="124"/>
      <c r="K114" s="124"/>
      <c r="L114" s="124"/>
      <c r="M114" s="146"/>
      <c r="N114" s="146"/>
      <c r="O114" s="146"/>
      <c r="P114" s="146"/>
      <c r="Q114" s="146"/>
    </row>
    <row r="115" spans="1:17" s="142" customFormat="1" ht="18" customHeight="1" x14ac:dyDescent="0.45">
      <c r="A115" s="79"/>
      <c r="B115" s="79"/>
      <c r="C115" s="79"/>
      <c r="D115" s="25"/>
      <c r="E115" s="25"/>
      <c r="F115" s="158"/>
      <c r="G115" s="25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</row>
    <row r="116" spans="1:17" s="142" customFormat="1" ht="18" customHeight="1" x14ac:dyDescent="0.45">
      <c r="A116" s="79"/>
      <c r="B116" s="79"/>
      <c r="C116" s="79"/>
      <c r="D116" s="79"/>
      <c r="E116" s="79"/>
      <c r="F116" s="156"/>
      <c r="G116" s="79"/>
      <c r="H116" s="124"/>
      <c r="I116" s="124"/>
      <c r="J116" s="124"/>
      <c r="K116" s="124"/>
      <c r="L116" s="124"/>
    </row>
    <row r="117" spans="1:17" s="142" customFormat="1" ht="18" customHeight="1" x14ac:dyDescent="0.45">
      <c r="A117" s="79"/>
      <c r="B117" s="79"/>
      <c r="C117" s="79"/>
      <c r="D117" s="79"/>
      <c r="E117" s="79"/>
      <c r="G117" s="79"/>
      <c r="H117" s="124"/>
      <c r="I117" s="124"/>
      <c r="J117" s="124"/>
      <c r="K117" s="124"/>
      <c r="L117" s="124"/>
    </row>
    <row r="118" spans="1:17" s="142" customFormat="1" ht="18" customHeight="1" x14ac:dyDescent="0.45">
      <c r="A118" s="79"/>
      <c r="B118" s="79"/>
      <c r="C118" s="79"/>
      <c r="D118" s="79"/>
      <c r="E118" s="79"/>
      <c r="F118" s="156"/>
      <c r="G118" s="79"/>
      <c r="H118" s="146"/>
      <c r="I118" s="124"/>
      <c r="J118" s="124"/>
      <c r="K118" s="124"/>
      <c r="L118" s="124"/>
      <c r="M118" s="146"/>
      <c r="N118" s="146"/>
      <c r="O118" s="146"/>
      <c r="P118" s="146"/>
      <c r="Q118" s="146"/>
    </row>
    <row r="119" spans="1:17" s="142" customFormat="1" ht="18" customHeight="1" x14ac:dyDescent="0.45">
      <c r="A119" s="79"/>
      <c r="B119" s="79"/>
      <c r="C119" s="79"/>
      <c r="D119" s="79"/>
      <c r="E119" s="79"/>
      <c r="F119" s="156"/>
      <c r="G119" s="79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s="142" customFormat="1" ht="18" customHeight="1" x14ac:dyDescent="0.45">
      <c r="A120" s="79"/>
      <c r="B120" s="79"/>
      <c r="C120" s="79"/>
      <c r="D120" s="79"/>
      <c r="E120" s="79"/>
      <c r="F120" s="156"/>
      <c r="G120" s="79"/>
      <c r="H120" s="124"/>
      <c r="I120" s="124"/>
      <c r="J120" s="124"/>
      <c r="K120" s="124"/>
      <c r="L120" s="124"/>
      <c r="M120" s="146"/>
      <c r="N120" s="146"/>
      <c r="O120" s="146"/>
      <c r="P120" s="146"/>
      <c r="Q120" s="146"/>
    </row>
    <row r="121" spans="1:17" s="142" customFormat="1" ht="18" customHeight="1" x14ac:dyDescent="0.45">
      <c r="A121" s="79"/>
      <c r="B121" s="79"/>
      <c r="C121" s="79"/>
      <c r="D121" s="53"/>
      <c r="E121" s="53"/>
      <c r="F121" s="158"/>
      <c r="G121" s="53"/>
      <c r="H121" s="124"/>
      <c r="I121" s="124"/>
      <c r="J121" s="124"/>
      <c r="K121" s="124"/>
      <c r="L121" s="124"/>
      <c r="M121" s="159"/>
      <c r="N121" s="159"/>
      <c r="O121" s="159"/>
      <c r="P121" s="159"/>
      <c r="Q121" s="159"/>
    </row>
    <row r="122" spans="1:17" s="142" customFormat="1" ht="18" customHeight="1" x14ac:dyDescent="0.45">
      <c r="A122" s="79"/>
      <c r="B122" s="79"/>
      <c r="C122" s="79"/>
      <c r="D122" s="79"/>
      <c r="E122" s="79"/>
      <c r="F122" s="79"/>
      <c r="G122" s="79"/>
      <c r="H122" s="124"/>
      <c r="I122" s="124"/>
      <c r="J122" s="124"/>
      <c r="K122" s="124"/>
      <c r="L122" s="124"/>
    </row>
    <row r="123" spans="1:17" s="142" customFormat="1" ht="18" customHeight="1" x14ac:dyDescent="0.45">
      <c r="A123" s="79"/>
      <c r="B123" s="79"/>
      <c r="C123" s="79"/>
      <c r="D123" s="79"/>
      <c r="E123" s="79"/>
      <c r="F123" s="79"/>
      <c r="G123" s="79"/>
      <c r="H123" s="124"/>
      <c r="I123" s="124"/>
      <c r="J123" s="124"/>
      <c r="K123" s="124"/>
      <c r="L123" s="124"/>
    </row>
    <row r="124" spans="1:17" s="142" customFormat="1" ht="18" customHeight="1" x14ac:dyDescent="0.45">
      <c r="A124" s="79"/>
      <c r="B124" s="79"/>
      <c r="C124" s="79"/>
      <c r="D124" s="79"/>
      <c r="E124" s="79"/>
      <c r="F124" s="156"/>
      <c r="G124" s="79"/>
      <c r="H124" s="124"/>
      <c r="I124" s="124"/>
      <c r="J124" s="124"/>
      <c r="K124" s="124"/>
      <c r="L124" s="124"/>
      <c r="M124" s="146"/>
      <c r="N124" s="146"/>
      <c r="O124" s="146"/>
      <c r="P124" s="146"/>
      <c r="Q124" s="146"/>
    </row>
    <row r="125" spans="1:17" s="142" customFormat="1" ht="18" customHeight="1" x14ac:dyDescent="0.45">
      <c r="A125" s="79"/>
      <c r="B125" s="79"/>
      <c r="C125" s="79"/>
      <c r="D125" s="79"/>
      <c r="E125" s="79"/>
      <c r="F125" s="156"/>
      <c r="G125" s="79"/>
      <c r="H125" s="124"/>
      <c r="I125" s="159"/>
      <c r="J125" s="159"/>
      <c r="K125" s="159"/>
      <c r="L125" s="159"/>
      <c r="M125" s="159"/>
      <c r="N125" s="159"/>
      <c r="O125" s="159"/>
      <c r="P125" s="159"/>
      <c r="Q125" s="159"/>
    </row>
    <row r="126" spans="1:17" s="142" customFormat="1" ht="18" customHeight="1" x14ac:dyDescent="0.45">
      <c r="A126" s="79"/>
      <c r="B126" s="79"/>
      <c r="C126" s="79"/>
      <c r="D126" s="79"/>
      <c r="E126" s="79"/>
      <c r="F126" s="158"/>
      <c r="G126" s="53"/>
      <c r="H126" s="124"/>
      <c r="I126" s="124"/>
      <c r="J126" s="124"/>
      <c r="K126" s="124"/>
      <c r="L126" s="124"/>
      <c r="M126" s="159"/>
      <c r="N126" s="159"/>
      <c r="O126" s="159"/>
      <c r="P126" s="159"/>
      <c r="Q126" s="159"/>
    </row>
    <row r="127" spans="1:17" s="142" customFormat="1" ht="18" customHeight="1" x14ac:dyDescent="0.45">
      <c r="A127" s="79"/>
      <c r="B127" s="79"/>
      <c r="C127" s="79"/>
      <c r="D127" s="79"/>
      <c r="E127" s="79"/>
      <c r="F127" s="156"/>
      <c r="G127" s="79"/>
      <c r="H127" s="124"/>
      <c r="I127" s="124"/>
      <c r="J127" s="124"/>
      <c r="K127" s="124"/>
      <c r="L127" s="124"/>
      <c r="M127" s="146"/>
      <c r="N127" s="146"/>
      <c r="O127" s="146"/>
      <c r="P127" s="146"/>
      <c r="Q127" s="146"/>
    </row>
    <row r="128" spans="1:17" s="142" customFormat="1" ht="18" customHeight="1" x14ac:dyDescent="0.45">
      <c r="A128" s="79"/>
      <c r="B128" s="79"/>
      <c r="C128" s="79"/>
      <c r="D128" s="79"/>
      <c r="E128" s="79"/>
      <c r="F128" s="79"/>
      <c r="G128" s="79"/>
      <c r="H128" s="124"/>
      <c r="I128" s="124"/>
      <c r="J128" s="124"/>
      <c r="K128" s="124"/>
      <c r="L128" s="124"/>
    </row>
    <row r="129" spans="1:12" s="142" customFormat="1" ht="18" customHeight="1" x14ac:dyDescent="0.45">
      <c r="A129" s="79"/>
      <c r="B129" s="79"/>
      <c r="C129" s="79"/>
      <c r="D129" s="79"/>
      <c r="E129" s="79"/>
      <c r="F129" s="79"/>
      <c r="G129" s="79"/>
      <c r="H129" s="124"/>
      <c r="I129" s="124"/>
      <c r="J129" s="124"/>
      <c r="K129" s="124"/>
      <c r="L129" s="124"/>
    </row>
    <row r="130" spans="1:12" s="142" customFormat="1" ht="18" customHeight="1" x14ac:dyDescent="0.45">
      <c r="A130" s="79"/>
      <c r="B130" s="79"/>
      <c r="C130" s="79"/>
      <c r="D130" s="79"/>
      <c r="E130" s="79"/>
      <c r="F130" s="79"/>
      <c r="G130" s="79"/>
      <c r="H130" s="124"/>
      <c r="I130" s="124"/>
      <c r="J130" s="124"/>
      <c r="K130" s="124"/>
      <c r="L130" s="124"/>
    </row>
    <row r="131" spans="1:12" s="142" customFormat="1" ht="18" customHeight="1" x14ac:dyDescent="0.45">
      <c r="A131" s="79"/>
      <c r="B131" s="79"/>
      <c r="C131" s="79"/>
      <c r="D131" s="79"/>
      <c r="E131" s="79"/>
      <c r="F131" s="79"/>
      <c r="G131" s="79"/>
      <c r="H131" s="124"/>
      <c r="I131" s="124"/>
      <c r="J131" s="124"/>
      <c r="K131" s="124"/>
      <c r="L131" s="124"/>
    </row>
    <row r="132" spans="1:12" s="142" customFormat="1" ht="18" customHeight="1" x14ac:dyDescent="0.45">
      <c r="A132" s="79"/>
      <c r="B132" s="79"/>
      <c r="C132" s="79"/>
      <c r="D132" s="79"/>
      <c r="E132" s="79"/>
      <c r="F132" s="79"/>
      <c r="G132" s="79"/>
      <c r="H132" s="124"/>
      <c r="I132" s="124"/>
      <c r="J132" s="124"/>
      <c r="K132" s="124"/>
      <c r="L132" s="124"/>
    </row>
    <row r="133" spans="1:12" s="142" customFormat="1" ht="18" customHeight="1" x14ac:dyDescent="0.45">
      <c r="A133" s="79"/>
      <c r="B133" s="79"/>
      <c r="C133" s="79"/>
      <c r="D133" s="79"/>
      <c r="E133" s="79"/>
      <c r="F133" s="79"/>
      <c r="G133" s="79"/>
      <c r="H133" s="124"/>
      <c r="I133" s="124"/>
      <c r="J133" s="124"/>
      <c r="K133" s="124"/>
      <c r="L133" s="124"/>
    </row>
    <row r="134" spans="1:12" s="142" customFormat="1" ht="18" customHeight="1" x14ac:dyDescent="0.45">
      <c r="A134" s="79"/>
      <c r="B134" s="79"/>
      <c r="C134" s="79"/>
      <c r="D134" s="79"/>
      <c r="E134" s="79"/>
      <c r="F134" s="79"/>
      <c r="G134" s="79"/>
      <c r="H134" s="124"/>
      <c r="I134" s="124"/>
      <c r="J134" s="124"/>
      <c r="K134" s="124"/>
      <c r="L134" s="124"/>
    </row>
    <row r="135" spans="1:12" s="142" customFormat="1" ht="18" customHeight="1" x14ac:dyDescent="0.45">
      <c r="A135" s="79"/>
      <c r="B135" s="79"/>
      <c r="C135" s="79"/>
      <c r="D135" s="79"/>
      <c r="E135" s="79"/>
      <c r="F135" s="79"/>
      <c r="G135" s="79"/>
      <c r="H135" s="124"/>
      <c r="I135" s="124"/>
      <c r="J135" s="124"/>
      <c r="K135" s="124"/>
      <c r="L135" s="124"/>
    </row>
    <row r="136" spans="1:12" s="142" customFormat="1" ht="18" customHeight="1" x14ac:dyDescent="0.45">
      <c r="A136" s="79"/>
      <c r="B136" s="79"/>
      <c r="C136" s="79"/>
      <c r="D136" s="79"/>
      <c r="E136" s="79"/>
      <c r="F136" s="79"/>
      <c r="G136" s="79"/>
      <c r="H136" s="124"/>
      <c r="I136" s="124"/>
      <c r="J136" s="124"/>
      <c r="K136" s="124"/>
      <c r="L136" s="124"/>
    </row>
    <row r="137" spans="1:12" s="142" customFormat="1" ht="18" customHeight="1" x14ac:dyDescent="0.45">
      <c r="A137" s="79"/>
      <c r="B137" s="79"/>
      <c r="C137" s="79"/>
      <c r="D137" s="79"/>
      <c r="E137" s="79"/>
      <c r="F137" s="79"/>
      <c r="G137" s="79"/>
      <c r="H137" s="124"/>
      <c r="I137" s="124"/>
      <c r="J137" s="124"/>
      <c r="K137" s="124"/>
      <c r="L137" s="124"/>
    </row>
    <row r="138" spans="1:12" s="142" customFormat="1" ht="18" customHeight="1" x14ac:dyDescent="0.45">
      <c r="A138" s="79"/>
      <c r="B138" s="79"/>
      <c r="C138" s="79"/>
      <c r="D138" s="79"/>
      <c r="E138" s="79"/>
      <c r="F138" s="79"/>
      <c r="G138" s="79"/>
      <c r="H138" s="124"/>
      <c r="I138" s="124"/>
      <c r="J138" s="124"/>
      <c r="K138" s="124"/>
      <c r="L138" s="124"/>
    </row>
    <row r="139" spans="1:12" s="142" customFormat="1" ht="18" customHeight="1" x14ac:dyDescent="0.45">
      <c r="A139" s="79"/>
      <c r="B139" s="79"/>
      <c r="C139" s="79"/>
      <c r="D139" s="79"/>
      <c r="E139" s="79"/>
      <c r="F139" s="79"/>
      <c r="G139" s="79"/>
      <c r="H139" s="124"/>
      <c r="I139" s="124"/>
      <c r="J139" s="124"/>
      <c r="K139" s="124"/>
      <c r="L139" s="124"/>
    </row>
    <row r="140" spans="1:12" s="142" customFormat="1" ht="18" customHeight="1" x14ac:dyDescent="0.45">
      <c r="A140" s="79"/>
      <c r="B140" s="79"/>
      <c r="C140" s="79"/>
      <c r="D140" s="79"/>
      <c r="E140" s="79"/>
      <c r="F140" s="79"/>
      <c r="G140" s="79"/>
      <c r="H140" s="124"/>
      <c r="I140" s="124"/>
      <c r="J140" s="124"/>
      <c r="K140" s="124"/>
      <c r="L140" s="124"/>
    </row>
    <row r="141" spans="1:12" s="142" customFormat="1" ht="18" customHeight="1" x14ac:dyDescent="0.45">
      <c r="A141" s="79"/>
      <c r="B141" s="79"/>
      <c r="C141" s="79"/>
      <c r="D141" s="79"/>
      <c r="E141" s="79"/>
      <c r="F141" s="79"/>
      <c r="G141" s="79"/>
      <c r="H141" s="124"/>
      <c r="I141" s="124"/>
      <c r="J141" s="124"/>
      <c r="K141" s="124"/>
      <c r="L141" s="124"/>
    </row>
    <row r="142" spans="1:12" s="142" customFormat="1" ht="18" customHeight="1" x14ac:dyDescent="0.45">
      <c r="A142" s="79"/>
      <c r="B142" s="79"/>
      <c r="C142" s="79"/>
      <c r="D142" s="79"/>
      <c r="E142" s="79"/>
      <c r="F142" s="79"/>
      <c r="G142" s="79"/>
      <c r="H142" s="124"/>
      <c r="I142" s="124"/>
      <c r="J142" s="124"/>
      <c r="K142" s="124"/>
      <c r="L142" s="124"/>
    </row>
    <row r="143" spans="1:12" s="142" customFormat="1" ht="18" customHeight="1" x14ac:dyDescent="0.45">
      <c r="A143" s="79"/>
      <c r="B143" s="79"/>
      <c r="C143" s="79"/>
      <c r="D143" s="79"/>
      <c r="E143" s="79"/>
      <c r="F143" s="79"/>
      <c r="G143" s="79"/>
      <c r="H143" s="124"/>
      <c r="I143" s="124"/>
      <c r="J143" s="124"/>
      <c r="K143" s="124"/>
      <c r="L143" s="124"/>
    </row>
    <row r="144" spans="1:12" s="142" customFormat="1" ht="18" customHeight="1" x14ac:dyDescent="0.45">
      <c r="A144" s="79"/>
      <c r="B144" s="79"/>
      <c r="C144" s="79"/>
      <c r="D144" s="79"/>
      <c r="E144" s="79"/>
      <c r="F144" s="79"/>
      <c r="G144" s="79"/>
      <c r="H144" s="124"/>
      <c r="I144" s="124"/>
      <c r="J144" s="124"/>
      <c r="K144" s="124"/>
      <c r="L144" s="124"/>
    </row>
    <row r="145" spans="1:12" s="142" customFormat="1" ht="18" customHeight="1" x14ac:dyDescent="0.45">
      <c r="A145" s="79"/>
      <c r="B145" s="79"/>
      <c r="C145" s="79"/>
      <c r="D145" s="79"/>
      <c r="E145" s="79"/>
      <c r="F145" s="79"/>
      <c r="G145" s="79"/>
      <c r="H145" s="124"/>
      <c r="I145" s="124"/>
      <c r="J145" s="124"/>
      <c r="K145" s="124"/>
      <c r="L145" s="124"/>
    </row>
    <row r="146" spans="1:12" s="142" customFormat="1" ht="18" customHeight="1" x14ac:dyDescent="0.45">
      <c r="A146" s="79"/>
      <c r="B146" s="79"/>
      <c r="C146" s="79"/>
      <c r="D146" s="79"/>
      <c r="E146" s="79"/>
      <c r="F146" s="79"/>
      <c r="G146" s="79"/>
      <c r="H146" s="124"/>
      <c r="I146" s="124"/>
      <c r="J146" s="124"/>
      <c r="K146" s="124"/>
      <c r="L146" s="124"/>
    </row>
    <row r="147" spans="1:12" s="142" customFormat="1" ht="18" customHeight="1" x14ac:dyDescent="0.45">
      <c r="A147" s="79"/>
      <c r="B147" s="79"/>
      <c r="C147" s="79"/>
      <c r="D147" s="79"/>
      <c r="E147" s="79"/>
      <c r="F147" s="79"/>
      <c r="G147" s="79"/>
      <c r="H147" s="124"/>
      <c r="I147" s="124"/>
      <c r="J147" s="124"/>
      <c r="K147" s="124"/>
      <c r="L147" s="124"/>
    </row>
    <row r="148" spans="1:12" s="142" customFormat="1" ht="18" customHeight="1" x14ac:dyDescent="0.45">
      <c r="A148" s="79"/>
      <c r="B148" s="79"/>
      <c r="C148" s="79"/>
      <c r="D148" s="79"/>
      <c r="E148" s="79"/>
      <c r="F148" s="79"/>
      <c r="G148" s="79"/>
      <c r="H148" s="124"/>
      <c r="I148" s="124"/>
      <c r="J148" s="124"/>
      <c r="K148" s="124"/>
      <c r="L148" s="124"/>
    </row>
    <row r="149" spans="1:12" s="142" customFormat="1" ht="18" customHeight="1" x14ac:dyDescent="0.45">
      <c r="A149" s="79"/>
      <c r="B149" s="79"/>
      <c r="C149" s="79"/>
      <c r="D149" s="79"/>
      <c r="E149" s="79"/>
      <c r="F149" s="79"/>
      <c r="G149" s="79"/>
      <c r="H149" s="124"/>
      <c r="I149" s="124"/>
      <c r="J149" s="124"/>
      <c r="K149" s="124"/>
      <c r="L149" s="124"/>
    </row>
    <row r="150" spans="1:12" s="142" customFormat="1" ht="18" customHeight="1" x14ac:dyDescent="0.45">
      <c r="A150" s="79"/>
      <c r="B150" s="79"/>
      <c r="C150" s="79"/>
      <c r="D150" s="79"/>
      <c r="E150" s="79"/>
      <c r="F150" s="79"/>
      <c r="G150" s="79"/>
      <c r="H150" s="124"/>
      <c r="I150" s="124"/>
      <c r="J150" s="124"/>
      <c r="K150" s="124"/>
      <c r="L150" s="124"/>
    </row>
    <row r="151" spans="1:12" s="142" customFormat="1" ht="18" customHeight="1" x14ac:dyDescent="0.45">
      <c r="A151" s="79"/>
      <c r="B151" s="79"/>
      <c r="C151" s="79"/>
      <c r="D151" s="79"/>
      <c r="E151" s="79"/>
      <c r="F151" s="79"/>
      <c r="G151" s="79"/>
      <c r="H151" s="124"/>
      <c r="I151" s="124"/>
      <c r="J151" s="124"/>
      <c r="K151" s="124"/>
      <c r="L151" s="124"/>
    </row>
    <row r="152" spans="1:12" s="142" customFormat="1" ht="18" customHeight="1" x14ac:dyDescent="0.45">
      <c r="A152" s="79"/>
      <c r="B152" s="79"/>
      <c r="C152" s="79"/>
      <c r="D152" s="79"/>
      <c r="E152" s="79"/>
      <c r="F152" s="79"/>
      <c r="G152" s="79"/>
      <c r="H152" s="124"/>
      <c r="I152" s="124"/>
      <c r="J152" s="124"/>
      <c r="K152" s="124"/>
      <c r="L152" s="124"/>
    </row>
    <row r="153" spans="1:12" s="142" customFormat="1" ht="18" customHeight="1" x14ac:dyDescent="0.45">
      <c r="A153" s="79"/>
      <c r="B153" s="79"/>
      <c r="C153" s="79"/>
      <c r="D153" s="79"/>
      <c r="E153" s="79"/>
      <c r="F153" s="79"/>
      <c r="G153" s="79"/>
      <c r="H153" s="124"/>
      <c r="I153" s="124"/>
      <c r="J153" s="124"/>
      <c r="K153" s="124"/>
      <c r="L153" s="124"/>
    </row>
    <row r="154" spans="1:12" s="142" customFormat="1" ht="18" customHeight="1" x14ac:dyDescent="0.45">
      <c r="A154" s="79"/>
      <c r="B154" s="79"/>
      <c r="C154" s="79"/>
      <c r="D154" s="79"/>
      <c r="E154" s="79"/>
      <c r="F154" s="79"/>
      <c r="G154" s="79"/>
      <c r="H154" s="124"/>
      <c r="I154" s="124"/>
      <c r="J154" s="124"/>
      <c r="K154" s="124"/>
      <c r="L154" s="124"/>
    </row>
    <row r="155" spans="1:12" s="142" customFormat="1" ht="18" customHeight="1" x14ac:dyDescent="0.45">
      <c r="A155" s="79"/>
      <c r="B155" s="79"/>
      <c r="C155" s="79"/>
      <c r="D155" s="79"/>
      <c r="E155" s="79"/>
      <c r="F155" s="79"/>
      <c r="G155" s="79"/>
      <c r="H155" s="124"/>
      <c r="I155" s="124"/>
      <c r="J155" s="124"/>
      <c r="K155" s="124"/>
      <c r="L155" s="124"/>
    </row>
    <row r="156" spans="1:12" s="142" customFormat="1" ht="18" customHeight="1" x14ac:dyDescent="0.45">
      <c r="A156" s="79"/>
      <c r="B156" s="79"/>
      <c r="C156" s="79"/>
      <c r="D156" s="79"/>
      <c r="E156" s="79"/>
      <c r="F156" s="79"/>
      <c r="G156" s="79"/>
      <c r="H156" s="124"/>
      <c r="I156" s="124"/>
      <c r="J156" s="124"/>
      <c r="K156" s="124"/>
      <c r="L156" s="124"/>
    </row>
    <row r="157" spans="1:12" s="142" customFormat="1" ht="18" customHeight="1" x14ac:dyDescent="0.45">
      <c r="A157" s="79"/>
      <c r="B157" s="79"/>
      <c r="C157" s="79"/>
      <c r="D157" s="79"/>
      <c r="E157" s="79"/>
      <c r="F157" s="79"/>
      <c r="G157" s="79"/>
      <c r="H157" s="124"/>
      <c r="I157" s="124"/>
      <c r="J157" s="124"/>
      <c r="K157" s="124"/>
      <c r="L157" s="124"/>
    </row>
    <row r="158" spans="1:12" s="142" customFormat="1" ht="18" customHeight="1" x14ac:dyDescent="0.45">
      <c r="A158" s="79"/>
      <c r="B158" s="79"/>
      <c r="C158" s="79"/>
      <c r="D158" s="79"/>
      <c r="E158" s="79"/>
      <c r="F158" s="79"/>
      <c r="G158" s="79"/>
      <c r="H158" s="124"/>
      <c r="I158" s="124"/>
      <c r="J158" s="124"/>
      <c r="K158" s="124"/>
      <c r="L158" s="124"/>
    </row>
    <row r="159" spans="1:12" s="142" customFormat="1" ht="18" customHeight="1" x14ac:dyDescent="0.45">
      <c r="A159" s="79"/>
      <c r="B159" s="79"/>
      <c r="C159" s="79"/>
      <c r="D159" s="79"/>
      <c r="E159" s="79"/>
      <c r="F159" s="79"/>
      <c r="G159" s="79"/>
      <c r="H159" s="124"/>
      <c r="I159" s="124"/>
      <c r="J159" s="124"/>
      <c r="K159" s="124"/>
      <c r="L159" s="124"/>
    </row>
    <row r="160" spans="1:12" s="142" customFormat="1" ht="18" customHeight="1" x14ac:dyDescent="0.45">
      <c r="A160" s="79"/>
      <c r="B160" s="79"/>
      <c r="C160" s="79"/>
      <c r="D160" s="79"/>
      <c r="E160" s="79"/>
      <c r="F160" s="79"/>
      <c r="G160" s="79"/>
      <c r="H160" s="124"/>
      <c r="I160" s="124"/>
      <c r="J160" s="124"/>
      <c r="K160" s="124"/>
      <c r="L160" s="124"/>
    </row>
    <row r="161" spans="1:12" s="142" customFormat="1" ht="18" customHeight="1" x14ac:dyDescent="0.45">
      <c r="A161" s="79"/>
      <c r="B161" s="79"/>
      <c r="C161" s="79"/>
      <c r="D161" s="79"/>
      <c r="E161" s="79"/>
      <c r="F161" s="79"/>
      <c r="G161" s="79"/>
      <c r="H161" s="124"/>
      <c r="I161" s="124"/>
      <c r="J161" s="124"/>
      <c r="K161" s="124"/>
      <c r="L161" s="124"/>
    </row>
    <row r="162" spans="1:12" s="142" customFormat="1" ht="18" customHeight="1" x14ac:dyDescent="0.45">
      <c r="A162" s="79"/>
      <c r="B162" s="79"/>
      <c r="C162" s="79"/>
      <c r="D162" s="79"/>
      <c r="E162" s="79"/>
      <c r="F162" s="79"/>
      <c r="G162" s="79"/>
      <c r="H162" s="124"/>
      <c r="I162" s="124"/>
      <c r="J162" s="124"/>
      <c r="K162" s="124"/>
      <c r="L162" s="124"/>
    </row>
    <row r="163" spans="1:12" s="142" customFormat="1" ht="18" customHeight="1" x14ac:dyDescent="0.45">
      <c r="A163" s="79"/>
      <c r="B163" s="79"/>
      <c r="C163" s="79"/>
      <c r="D163" s="79"/>
      <c r="E163" s="79"/>
      <c r="F163" s="79"/>
      <c r="G163" s="79"/>
      <c r="H163" s="124"/>
      <c r="I163" s="124"/>
      <c r="J163" s="124"/>
      <c r="K163" s="124"/>
      <c r="L163" s="124"/>
    </row>
    <row r="164" spans="1:12" s="142" customFormat="1" ht="18" customHeight="1" x14ac:dyDescent="0.45">
      <c r="A164" s="79"/>
      <c r="B164" s="79"/>
      <c r="C164" s="79"/>
      <c r="D164" s="79"/>
      <c r="E164" s="79"/>
      <c r="F164" s="79"/>
      <c r="G164" s="79"/>
      <c r="H164" s="124"/>
      <c r="I164" s="124"/>
      <c r="J164" s="124"/>
      <c r="K164" s="124"/>
      <c r="L164" s="124"/>
    </row>
    <row r="165" spans="1:12" s="142" customFormat="1" ht="18" customHeight="1" x14ac:dyDescent="0.45">
      <c r="A165" s="79"/>
      <c r="B165" s="79"/>
      <c r="C165" s="79"/>
      <c r="D165" s="79"/>
      <c r="E165" s="79"/>
      <c r="F165" s="79"/>
      <c r="G165" s="79"/>
      <c r="H165" s="124"/>
      <c r="I165" s="124"/>
      <c r="J165" s="124"/>
      <c r="K165" s="124"/>
      <c r="L165" s="124"/>
    </row>
    <row r="166" spans="1:12" s="142" customFormat="1" ht="18" customHeight="1" x14ac:dyDescent="0.45">
      <c r="A166" s="79"/>
      <c r="B166" s="79"/>
      <c r="C166" s="79"/>
      <c r="D166" s="79"/>
      <c r="E166" s="79"/>
      <c r="F166" s="79"/>
      <c r="G166" s="79"/>
      <c r="H166" s="124"/>
      <c r="I166" s="124"/>
      <c r="J166" s="124"/>
      <c r="K166" s="124"/>
      <c r="L166" s="124"/>
    </row>
    <row r="167" spans="1:12" s="142" customFormat="1" ht="18" customHeight="1" x14ac:dyDescent="0.45">
      <c r="A167" s="79"/>
      <c r="B167" s="79"/>
      <c r="C167" s="79"/>
      <c r="D167" s="79"/>
      <c r="E167" s="79"/>
      <c r="F167" s="79"/>
      <c r="G167" s="79"/>
      <c r="H167" s="124"/>
      <c r="I167" s="124"/>
      <c r="J167" s="124"/>
      <c r="K167" s="124"/>
      <c r="L167" s="124"/>
    </row>
    <row r="168" spans="1:12" s="142" customFormat="1" ht="18" customHeight="1" x14ac:dyDescent="0.45">
      <c r="A168" s="79"/>
      <c r="B168" s="79"/>
      <c r="C168" s="79"/>
      <c r="D168" s="79"/>
      <c r="E168" s="79"/>
      <c r="F168" s="79"/>
      <c r="G168" s="79"/>
      <c r="H168" s="124"/>
      <c r="I168" s="124"/>
      <c r="J168" s="124"/>
      <c r="K168" s="124"/>
      <c r="L168" s="124"/>
    </row>
    <row r="169" spans="1:12" s="142" customFormat="1" ht="18" customHeight="1" x14ac:dyDescent="0.45">
      <c r="A169" s="79"/>
      <c r="B169" s="79"/>
      <c r="C169" s="79"/>
      <c r="D169" s="79"/>
      <c r="E169" s="79"/>
      <c r="F169" s="79"/>
      <c r="G169" s="79"/>
      <c r="H169" s="124"/>
      <c r="I169" s="124"/>
      <c r="J169" s="124"/>
      <c r="K169" s="124"/>
      <c r="L169" s="124"/>
    </row>
    <row r="170" spans="1:12" s="142" customFormat="1" ht="18" customHeight="1" x14ac:dyDescent="0.45">
      <c r="A170" s="79"/>
      <c r="B170" s="79"/>
      <c r="C170" s="79"/>
      <c r="D170" s="79"/>
      <c r="E170" s="79"/>
      <c r="F170" s="79"/>
      <c r="G170" s="79"/>
      <c r="H170" s="124"/>
      <c r="I170" s="124"/>
      <c r="J170" s="124"/>
      <c r="K170" s="124"/>
      <c r="L170" s="124"/>
    </row>
    <row r="171" spans="1:12" s="142" customFormat="1" ht="18" customHeight="1" x14ac:dyDescent="0.45">
      <c r="A171" s="79"/>
      <c r="B171" s="79"/>
      <c r="C171" s="79"/>
      <c r="D171" s="79"/>
      <c r="E171" s="79"/>
      <c r="F171" s="79"/>
      <c r="G171" s="79"/>
      <c r="H171" s="124"/>
      <c r="I171" s="124"/>
      <c r="J171" s="124"/>
      <c r="K171" s="124"/>
      <c r="L171" s="124"/>
    </row>
    <row r="172" spans="1:12" s="142" customFormat="1" ht="18" customHeight="1" x14ac:dyDescent="0.45">
      <c r="A172" s="79"/>
      <c r="B172" s="79"/>
      <c r="C172" s="79"/>
      <c r="D172" s="79"/>
      <c r="E172" s="79"/>
      <c r="F172" s="79"/>
      <c r="G172" s="79"/>
      <c r="H172" s="124"/>
      <c r="I172" s="124"/>
      <c r="J172" s="124"/>
      <c r="K172" s="124"/>
      <c r="L172" s="124"/>
    </row>
    <row r="173" spans="1:12" s="142" customFormat="1" ht="18" customHeight="1" x14ac:dyDescent="0.45">
      <c r="A173" s="79"/>
      <c r="B173" s="79"/>
      <c r="C173" s="79"/>
      <c r="D173" s="79"/>
      <c r="E173" s="79"/>
      <c r="F173" s="79"/>
      <c r="G173" s="79"/>
      <c r="H173" s="124"/>
      <c r="I173" s="124"/>
      <c r="J173" s="124"/>
      <c r="K173" s="124"/>
      <c r="L173" s="124"/>
    </row>
    <row r="174" spans="1:12" s="142" customFormat="1" ht="18" customHeight="1" x14ac:dyDescent="0.45">
      <c r="A174" s="79"/>
      <c r="B174" s="79"/>
      <c r="C174" s="79"/>
      <c r="D174" s="79"/>
      <c r="E174" s="79"/>
      <c r="F174" s="79"/>
      <c r="G174" s="79"/>
      <c r="H174" s="124"/>
      <c r="I174" s="124"/>
      <c r="J174" s="124"/>
      <c r="K174" s="124"/>
      <c r="L174" s="124"/>
    </row>
    <row r="175" spans="1:12" s="142" customFormat="1" ht="18" customHeight="1" x14ac:dyDescent="0.45">
      <c r="A175" s="79"/>
      <c r="B175" s="79"/>
      <c r="C175" s="79"/>
      <c r="D175" s="79"/>
      <c r="E175" s="79"/>
      <c r="F175" s="79"/>
      <c r="G175" s="79"/>
      <c r="H175" s="124"/>
      <c r="I175" s="124"/>
      <c r="J175" s="124"/>
      <c r="K175" s="124"/>
      <c r="L175" s="124"/>
    </row>
    <row r="176" spans="1:12" s="142" customFormat="1" ht="18" customHeight="1" x14ac:dyDescent="0.45">
      <c r="A176" s="79"/>
      <c r="B176" s="79"/>
      <c r="C176" s="79"/>
      <c r="D176" s="79"/>
      <c r="E176" s="79"/>
      <c r="F176" s="79"/>
      <c r="G176" s="79"/>
      <c r="H176" s="124"/>
      <c r="I176" s="124"/>
      <c r="J176" s="124"/>
      <c r="K176" s="124"/>
      <c r="L176" s="124"/>
    </row>
    <row r="177" spans="1:12" s="142" customFormat="1" ht="18" customHeight="1" x14ac:dyDescent="0.45">
      <c r="A177" s="79"/>
      <c r="B177" s="79"/>
      <c r="C177" s="79"/>
      <c r="D177" s="79"/>
      <c r="E177" s="79"/>
      <c r="F177" s="79"/>
      <c r="G177" s="79"/>
      <c r="H177" s="124"/>
      <c r="I177" s="124"/>
      <c r="J177" s="124"/>
      <c r="K177" s="124"/>
      <c r="L177" s="124"/>
    </row>
    <row r="178" spans="1:12" s="142" customFormat="1" ht="18" customHeight="1" x14ac:dyDescent="0.45">
      <c r="A178" s="79"/>
      <c r="B178" s="79"/>
      <c r="C178" s="79"/>
      <c r="D178" s="79"/>
      <c r="E178" s="79"/>
      <c r="F178" s="79"/>
      <c r="G178" s="79"/>
      <c r="H178" s="124"/>
      <c r="I178" s="124"/>
      <c r="J178" s="124"/>
      <c r="K178" s="124"/>
      <c r="L178" s="124"/>
    </row>
    <row r="179" spans="1:12" s="142" customFormat="1" ht="18" customHeight="1" x14ac:dyDescent="0.45">
      <c r="A179" s="79"/>
      <c r="B179" s="79"/>
      <c r="C179" s="79"/>
      <c r="D179" s="79"/>
      <c r="E179" s="79"/>
      <c r="F179" s="79"/>
      <c r="G179" s="79"/>
      <c r="H179" s="124"/>
      <c r="I179" s="124"/>
      <c r="J179" s="124"/>
      <c r="K179" s="124"/>
      <c r="L179" s="124"/>
    </row>
    <row r="180" spans="1:12" s="142" customFormat="1" ht="18" customHeight="1" x14ac:dyDescent="0.45">
      <c r="A180" s="79"/>
      <c r="B180" s="79"/>
      <c r="C180" s="79"/>
      <c r="D180" s="79"/>
      <c r="E180" s="79"/>
      <c r="F180" s="79"/>
      <c r="G180" s="79"/>
      <c r="H180" s="124"/>
      <c r="I180" s="124"/>
      <c r="J180" s="124"/>
      <c r="K180" s="124"/>
      <c r="L180" s="124"/>
    </row>
    <row r="181" spans="1:12" s="142" customFormat="1" ht="18" customHeight="1" x14ac:dyDescent="0.45">
      <c r="A181" s="79"/>
      <c r="B181" s="79"/>
      <c r="C181" s="79"/>
      <c r="D181" s="79"/>
      <c r="E181" s="79"/>
      <c r="F181" s="79"/>
      <c r="G181" s="79"/>
      <c r="H181" s="124"/>
      <c r="I181" s="124"/>
      <c r="J181" s="124"/>
      <c r="K181" s="124"/>
      <c r="L181" s="124"/>
    </row>
    <row r="182" spans="1:12" s="142" customFormat="1" ht="18" customHeight="1" x14ac:dyDescent="0.45">
      <c r="A182" s="79"/>
      <c r="B182" s="79"/>
      <c r="C182" s="79"/>
      <c r="D182" s="79"/>
      <c r="E182" s="79"/>
      <c r="F182" s="79"/>
      <c r="G182" s="79"/>
      <c r="H182" s="124"/>
      <c r="I182" s="124"/>
      <c r="J182" s="124"/>
      <c r="K182" s="124"/>
      <c r="L182" s="124"/>
    </row>
    <row r="183" spans="1:12" s="142" customFormat="1" ht="18" customHeight="1" x14ac:dyDescent="0.45">
      <c r="A183" s="79"/>
      <c r="B183" s="79"/>
      <c r="C183" s="79"/>
      <c r="D183" s="79"/>
      <c r="E183" s="79"/>
      <c r="F183" s="79"/>
      <c r="G183" s="79"/>
      <c r="H183" s="124"/>
      <c r="I183" s="124"/>
      <c r="J183" s="124"/>
      <c r="K183" s="124"/>
      <c r="L183" s="124"/>
    </row>
    <row r="184" spans="1:12" s="142" customFormat="1" ht="18" customHeight="1" x14ac:dyDescent="0.45">
      <c r="A184" s="79"/>
      <c r="B184" s="79"/>
      <c r="C184" s="79"/>
      <c r="D184" s="79"/>
      <c r="E184" s="79"/>
      <c r="F184" s="79"/>
      <c r="G184" s="79"/>
      <c r="H184" s="124"/>
      <c r="I184" s="124"/>
      <c r="J184" s="124"/>
      <c r="K184" s="124"/>
      <c r="L184" s="124"/>
    </row>
    <row r="185" spans="1:12" s="142" customFormat="1" ht="18" customHeight="1" x14ac:dyDescent="0.45">
      <c r="A185" s="79"/>
      <c r="B185" s="79"/>
      <c r="C185" s="79"/>
      <c r="D185" s="79"/>
      <c r="E185" s="79"/>
      <c r="F185" s="79"/>
      <c r="G185" s="79"/>
      <c r="H185" s="124"/>
      <c r="I185" s="124"/>
      <c r="J185" s="124"/>
      <c r="K185" s="124"/>
      <c r="L185" s="124"/>
    </row>
    <row r="186" spans="1:12" s="142" customFormat="1" ht="18" customHeight="1" x14ac:dyDescent="0.45">
      <c r="A186" s="79"/>
      <c r="B186" s="79"/>
      <c r="C186" s="79"/>
      <c r="D186" s="79"/>
      <c r="E186" s="79"/>
      <c r="F186" s="79"/>
      <c r="G186" s="79"/>
      <c r="H186" s="124"/>
      <c r="I186" s="124"/>
      <c r="J186" s="124"/>
      <c r="K186" s="124"/>
      <c r="L186" s="124"/>
    </row>
    <row r="187" spans="1:12" s="142" customFormat="1" ht="18" customHeight="1" x14ac:dyDescent="0.45">
      <c r="A187" s="79"/>
      <c r="B187" s="79"/>
      <c r="C187" s="79"/>
      <c r="D187" s="79"/>
      <c r="E187" s="79"/>
      <c r="F187" s="79"/>
      <c r="G187" s="79"/>
      <c r="H187" s="124"/>
      <c r="I187" s="124"/>
      <c r="J187" s="124"/>
      <c r="K187" s="124"/>
      <c r="L187" s="124"/>
    </row>
    <row r="188" spans="1:12" s="142" customFormat="1" ht="18" customHeight="1" x14ac:dyDescent="0.45">
      <c r="A188" s="79"/>
      <c r="B188" s="79"/>
      <c r="C188" s="79"/>
      <c r="D188" s="79"/>
      <c r="E188" s="79"/>
      <c r="F188" s="79"/>
      <c r="G188" s="79"/>
      <c r="H188" s="124"/>
      <c r="I188" s="124"/>
      <c r="J188" s="124"/>
      <c r="K188" s="124"/>
      <c r="L188" s="124"/>
    </row>
    <row r="189" spans="1:12" s="142" customFormat="1" ht="18" customHeight="1" x14ac:dyDescent="0.45">
      <c r="A189" s="79"/>
      <c r="B189" s="79"/>
      <c r="C189" s="79"/>
      <c r="D189" s="79"/>
      <c r="E189" s="79"/>
      <c r="F189" s="79"/>
      <c r="G189" s="79"/>
      <c r="H189" s="124"/>
      <c r="I189" s="124"/>
      <c r="J189" s="124"/>
      <c r="K189" s="124"/>
      <c r="L189" s="124"/>
    </row>
    <row r="190" spans="1:12" s="142" customFormat="1" ht="18" customHeight="1" x14ac:dyDescent="0.45">
      <c r="A190" s="79"/>
      <c r="B190" s="79"/>
      <c r="C190" s="79"/>
      <c r="D190" s="79"/>
      <c r="E190" s="79"/>
      <c r="F190" s="79"/>
      <c r="G190" s="79"/>
      <c r="H190" s="124"/>
      <c r="I190" s="124"/>
      <c r="J190" s="124"/>
      <c r="K190" s="124"/>
      <c r="L190" s="124"/>
    </row>
    <row r="191" spans="1:12" s="142" customFormat="1" ht="18" customHeight="1" x14ac:dyDescent="0.45">
      <c r="A191" s="79"/>
      <c r="B191" s="79"/>
      <c r="C191" s="79"/>
      <c r="D191" s="79"/>
      <c r="E191" s="79"/>
      <c r="F191" s="79"/>
      <c r="G191" s="79"/>
      <c r="H191" s="124"/>
      <c r="I191" s="124"/>
      <c r="J191" s="124"/>
      <c r="K191" s="124"/>
      <c r="L191" s="124"/>
    </row>
    <row r="192" spans="1:12" s="142" customFormat="1" ht="18" customHeight="1" x14ac:dyDescent="0.45">
      <c r="A192" s="79"/>
      <c r="B192" s="79"/>
      <c r="C192" s="79"/>
      <c r="D192" s="79"/>
      <c r="E192" s="79"/>
      <c r="F192" s="79"/>
      <c r="G192" s="79"/>
      <c r="H192" s="124"/>
      <c r="I192" s="124"/>
      <c r="J192" s="124"/>
      <c r="K192" s="124"/>
      <c r="L192" s="124"/>
    </row>
    <row r="193" spans="1:12" s="142" customFormat="1" ht="18" customHeight="1" x14ac:dyDescent="0.45">
      <c r="A193" s="79"/>
      <c r="B193" s="79"/>
      <c r="C193" s="79"/>
      <c r="D193" s="79"/>
      <c r="E193" s="79"/>
      <c r="F193" s="79"/>
      <c r="G193" s="79"/>
      <c r="H193" s="124"/>
      <c r="I193" s="124"/>
      <c r="J193" s="124"/>
      <c r="K193" s="124"/>
      <c r="L193" s="124"/>
    </row>
    <row r="194" spans="1:12" s="142" customFormat="1" ht="18" customHeight="1" x14ac:dyDescent="0.45">
      <c r="A194" s="79"/>
      <c r="B194" s="79"/>
      <c r="C194" s="79"/>
      <c r="D194" s="79"/>
      <c r="E194" s="79"/>
      <c r="F194" s="79"/>
      <c r="G194" s="79"/>
      <c r="H194" s="124"/>
      <c r="I194" s="124"/>
      <c r="J194" s="124"/>
      <c r="K194" s="124"/>
      <c r="L194" s="124"/>
    </row>
    <row r="195" spans="1:12" s="142" customFormat="1" ht="18" customHeight="1" x14ac:dyDescent="0.45">
      <c r="A195" s="79"/>
      <c r="B195" s="79"/>
      <c r="C195" s="79"/>
      <c r="D195" s="79"/>
      <c r="E195" s="79"/>
      <c r="F195" s="79"/>
      <c r="G195" s="79"/>
      <c r="H195" s="124"/>
      <c r="I195" s="124"/>
      <c r="J195" s="124"/>
      <c r="K195" s="124"/>
      <c r="L195" s="124"/>
    </row>
    <row r="196" spans="1:12" s="142" customFormat="1" ht="18" customHeight="1" x14ac:dyDescent="0.45">
      <c r="A196" s="79"/>
      <c r="B196" s="79"/>
      <c r="C196" s="79"/>
      <c r="D196" s="79"/>
      <c r="E196" s="79"/>
      <c r="F196" s="79"/>
      <c r="G196" s="79"/>
      <c r="H196" s="124"/>
      <c r="I196" s="124"/>
      <c r="J196" s="124"/>
      <c r="K196" s="124"/>
      <c r="L196" s="124"/>
    </row>
    <row r="197" spans="1:12" s="142" customFormat="1" ht="18" customHeight="1" x14ac:dyDescent="0.45">
      <c r="A197" s="79"/>
      <c r="B197" s="79"/>
      <c r="C197" s="79"/>
      <c r="D197" s="79"/>
      <c r="E197" s="79"/>
      <c r="F197" s="79"/>
      <c r="G197" s="79"/>
      <c r="H197" s="124"/>
      <c r="I197" s="124"/>
      <c r="J197" s="124"/>
      <c r="K197" s="124"/>
      <c r="L197" s="124"/>
    </row>
    <row r="198" spans="1:12" s="142" customFormat="1" ht="18" customHeight="1" x14ac:dyDescent="0.45">
      <c r="A198" s="79"/>
      <c r="B198" s="79"/>
      <c r="C198" s="79"/>
      <c r="D198" s="79"/>
      <c r="E198" s="79"/>
      <c r="F198" s="79"/>
      <c r="G198" s="79"/>
      <c r="H198" s="124"/>
      <c r="I198" s="124"/>
      <c r="J198" s="124"/>
      <c r="K198" s="124"/>
      <c r="L198" s="124"/>
    </row>
    <row r="199" spans="1:12" s="142" customFormat="1" ht="18" customHeight="1" x14ac:dyDescent="0.45">
      <c r="A199" s="79"/>
      <c r="B199" s="79"/>
      <c r="C199" s="79"/>
      <c r="D199" s="79"/>
      <c r="E199" s="79"/>
      <c r="F199" s="79"/>
      <c r="G199" s="79"/>
      <c r="H199" s="124"/>
      <c r="I199" s="124"/>
      <c r="J199" s="124"/>
      <c r="K199" s="124"/>
      <c r="L199" s="124"/>
    </row>
    <row r="200" spans="1:12" s="142" customFormat="1" ht="18" customHeight="1" x14ac:dyDescent="0.45">
      <c r="A200" s="79"/>
      <c r="B200" s="79"/>
      <c r="C200" s="79"/>
      <c r="D200" s="79"/>
      <c r="E200" s="79"/>
      <c r="F200" s="79"/>
      <c r="G200" s="79"/>
      <c r="H200" s="124"/>
      <c r="I200" s="124"/>
      <c r="J200" s="124"/>
      <c r="K200" s="124"/>
      <c r="L200" s="124"/>
    </row>
    <row r="201" spans="1:12" s="142" customFormat="1" ht="18" customHeight="1" x14ac:dyDescent="0.45">
      <c r="A201" s="79"/>
      <c r="B201" s="79"/>
      <c r="C201" s="79"/>
      <c r="D201" s="79"/>
      <c r="E201" s="79"/>
      <c r="F201" s="79"/>
      <c r="G201" s="79"/>
      <c r="H201" s="124"/>
      <c r="I201" s="124"/>
      <c r="J201" s="124"/>
      <c r="K201" s="124"/>
      <c r="L201" s="124"/>
    </row>
    <row r="202" spans="1:12" s="142" customFormat="1" ht="18" customHeight="1" x14ac:dyDescent="0.45">
      <c r="A202" s="79"/>
      <c r="B202" s="79"/>
      <c r="C202" s="79"/>
      <c r="D202" s="79"/>
      <c r="E202" s="79"/>
      <c r="F202" s="79"/>
      <c r="G202" s="79"/>
      <c r="H202" s="124"/>
      <c r="I202" s="124"/>
      <c r="J202" s="124"/>
      <c r="K202" s="124"/>
      <c r="L202" s="124"/>
    </row>
    <row r="203" spans="1:12" s="142" customFormat="1" ht="18" customHeight="1" x14ac:dyDescent="0.45">
      <c r="A203" s="79"/>
      <c r="B203" s="79"/>
      <c r="C203" s="79"/>
      <c r="D203" s="79"/>
      <c r="E203" s="79"/>
      <c r="F203" s="79"/>
      <c r="G203" s="79"/>
      <c r="H203" s="124"/>
      <c r="I203" s="124"/>
      <c r="J203" s="124"/>
      <c r="K203" s="124"/>
      <c r="L203" s="124"/>
    </row>
    <row r="204" spans="1:12" s="142" customFormat="1" ht="18" customHeight="1" x14ac:dyDescent="0.45">
      <c r="A204" s="79"/>
      <c r="B204" s="79"/>
      <c r="C204" s="79"/>
      <c r="D204" s="79"/>
      <c r="E204" s="79"/>
      <c r="F204" s="79"/>
      <c r="G204" s="79"/>
      <c r="H204" s="124"/>
      <c r="I204" s="124"/>
      <c r="J204" s="124"/>
      <c r="K204" s="124"/>
      <c r="L204" s="124"/>
    </row>
    <row r="205" spans="1:12" s="142" customFormat="1" ht="18" customHeight="1" x14ac:dyDescent="0.45">
      <c r="A205" s="79"/>
      <c r="B205" s="79"/>
      <c r="C205" s="79"/>
      <c r="D205" s="79"/>
      <c r="E205" s="79"/>
      <c r="F205" s="79"/>
      <c r="G205" s="79"/>
      <c r="H205" s="124"/>
      <c r="I205" s="124"/>
      <c r="J205" s="124"/>
      <c r="K205" s="124"/>
      <c r="L205" s="124"/>
    </row>
    <row r="206" spans="1:12" s="142" customFormat="1" ht="18" customHeight="1" x14ac:dyDescent="0.45">
      <c r="A206" s="79"/>
      <c r="B206" s="79"/>
      <c r="C206" s="79"/>
      <c r="D206" s="79"/>
      <c r="E206" s="79"/>
      <c r="F206" s="79"/>
      <c r="G206" s="79"/>
      <c r="H206" s="124"/>
      <c r="I206" s="124"/>
      <c r="J206" s="124"/>
      <c r="K206" s="124"/>
      <c r="L206" s="124"/>
    </row>
    <row r="207" spans="1:12" s="142" customFormat="1" ht="18" customHeight="1" x14ac:dyDescent="0.45">
      <c r="A207" s="79"/>
      <c r="B207" s="79"/>
      <c r="C207" s="79"/>
      <c r="D207" s="79"/>
      <c r="E207" s="79"/>
      <c r="F207" s="79"/>
      <c r="G207" s="79"/>
      <c r="H207" s="124"/>
      <c r="I207" s="124"/>
      <c r="J207" s="124"/>
      <c r="K207" s="124"/>
      <c r="L207" s="124"/>
    </row>
    <row r="208" spans="1:12" s="142" customFormat="1" ht="18" customHeight="1" x14ac:dyDescent="0.45">
      <c r="A208" s="79"/>
      <c r="B208" s="79"/>
      <c r="C208" s="79"/>
      <c r="D208" s="79"/>
      <c r="E208" s="79"/>
      <c r="F208" s="79"/>
      <c r="G208" s="79"/>
      <c r="H208" s="124"/>
      <c r="I208" s="124"/>
      <c r="J208" s="124"/>
      <c r="K208" s="124"/>
      <c r="L208" s="124"/>
    </row>
    <row r="209" spans="1:12" s="142" customFormat="1" ht="18" customHeight="1" x14ac:dyDescent="0.45">
      <c r="A209" s="79"/>
      <c r="B209" s="79"/>
      <c r="C209" s="79"/>
      <c r="D209" s="79"/>
      <c r="E209" s="79"/>
      <c r="F209" s="79"/>
      <c r="G209" s="79"/>
      <c r="H209" s="124"/>
      <c r="I209" s="124"/>
      <c r="J209" s="124"/>
      <c r="K209" s="124"/>
      <c r="L209" s="124"/>
    </row>
    <row r="210" spans="1:12" s="142" customFormat="1" ht="18" customHeight="1" x14ac:dyDescent="0.45">
      <c r="H210" s="124"/>
      <c r="I210" s="124"/>
      <c r="J210" s="124"/>
      <c r="K210" s="124"/>
      <c r="L210" s="124"/>
    </row>
    <row r="211" spans="1:12" s="142" customFormat="1" ht="18" customHeight="1" x14ac:dyDescent="0.45">
      <c r="H211" s="124"/>
      <c r="I211" s="124"/>
      <c r="J211" s="124"/>
      <c r="K211" s="124"/>
      <c r="L211" s="124"/>
    </row>
    <row r="212" spans="1:12" s="142" customFormat="1" ht="18" customHeight="1" x14ac:dyDescent="0.45">
      <c r="H212" s="124"/>
      <c r="I212" s="124"/>
      <c r="J212" s="124"/>
      <c r="K212" s="124"/>
      <c r="L212" s="124"/>
    </row>
    <row r="213" spans="1:12" s="142" customFormat="1" ht="18" customHeight="1" x14ac:dyDescent="0.45">
      <c r="H213" s="124"/>
      <c r="I213" s="124"/>
      <c r="J213" s="124"/>
      <c r="K213" s="124"/>
      <c r="L213" s="124"/>
    </row>
    <row r="214" spans="1:12" s="142" customFormat="1" ht="18" customHeight="1" x14ac:dyDescent="0.45">
      <c r="H214" s="124"/>
      <c r="I214" s="124"/>
      <c r="J214" s="124"/>
      <c r="K214" s="124"/>
      <c r="L214" s="124"/>
    </row>
    <row r="215" spans="1:12" s="142" customFormat="1" ht="18" customHeight="1" x14ac:dyDescent="0.45">
      <c r="H215" s="124"/>
      <c r="I215" s="124"/>
      <c r="J215" s="124"/>
      <c r="K215" s="124"/>
      <c r="L215" s="124"/>
    </row>
    <row r="216" spans="1:12" s="142" customFormat="1" ht="18" customHeight="1" x14ac:dyDescent="0.45">
      <c r="H216" s="124"/>
      <c r="I216" s="124"/>
      <c r="J216" s="124"/>
      <c r="K216" s="124"/>
      <c r="L216" s="124"/>
    </row>
    <row r="217" spans="1:12" s="142" customFormat="1" ht="18" customHeight="1" x14ac:dyDescent="0.45">
      <c r="H217" s="124"/>
      <c r="I217" s="124"/>
      <c r="J217" s="124"/>
      <c r="K217" s="124"/>
      <c r="L217" s="124"/>
    </row>
    <row r="218" spans="1:12" s="142" customFormat="1" ht="18" customHeight="1" x14ac:dyDescent="0.45">
      <c r="H218" s="124"/>
      <c r="I218" s="124"/>
      <c r="J218" s="124"/>
      <c r="K218" s="124"/>
      <c r="L218" s="124"/>
    </row>
    <row r="219" spans="1:12" s="142" customFormat="1" ht="18" customHeight="1" x14ac:dyDescent="0.45"/>
    <row r="220" spans="1:12" s="142" customFormat="1" ht="18" customHeight="1" x14ac:dyDescent="0.45"/>
    <row r="221" spans="1:12" s="142" customFormat="1" ht="18" customHeight="1" x14ac:dyDescent="0.45"/>
    <row r="222" spans="1:12" s="142" customFormat="1" ht="18" customHeight="1" x14ac:dyDescent="0.45"/>
    <row r="223" spans="1:12" s="142" customFormat="1" ht="18" customHeight="1" x14ac:dyDescent="0.45"/>
    <row r="224" spans="1:12" s="142" customFormat="1" ht="18" customHeight="1" x14ac:dyDescent="0.45"/>
  </sheetData>
  <pageMargins left="0.7" right="0.7" top="0.75" bottom="0.75" header="0.511811023622047" footer="0.511811023622047"/>
  <pageSetup paperSize="9" orientation="portrait" horizontalDpi="300" verticalDpi="300"/>
  <ignoredErrors>
    <ignoredError sqref="H9 J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</vt:lpstr>
      <vt:lpstr>Balance Sheet</vt:lpstr>
      <vt:lpstr>Scenario</vt:lpstr>
      <vt:lpstr>C&amp;F</vt:lpstr>
      <vt:lpstr>Model</vt:lpstr>
      <vt:lpstr>DCF</vt:lpstr>
      <vt:lpstr>Comp Valuation</vt:lpstr>
      <vt:lpstr>WACC</vt:lpstr>
      <vt:lpstr>Beta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ashik jaman</dc:creator>
  <dc:description/>
  <cp:lastModifiedBy>ashik jaman</cp:lastModifiedBy>
  <cp:revision>4</cp:revision>
  <dcterms:created xsi:type="dcterms:W3CDTF">2026-04-24T18:25:22Z</dcterms:created>
  <dcterms:modified xsi:type="dcterms:W3CDTF">2026-04-30T07:23:06Z</dcterms:modified>
  <dc:language>en-US</dc:language>
</cp:coreProperties>
</file>